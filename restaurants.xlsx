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irectory" sheetId="2" state="visible" r:id="rId4"/>
    <sheet name="Chain Branch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<sst xmlns="http://schemas.openxmlformats.org/spreadsheetml/2006/main" count="3967" uniqueCount="1341">
  <si>
    <t xml:space="preserve">UAE cafeterias, restaurants &amp; chain branches</t>
  </si>
  <si>
    <t xml:space="preserve">Independent &amp; regional venues (Directory tab)</t>
  </si>
  <si>
    <t xml:space="preserve">Chain branches logged (Chain Branches tab)</t>
  </si>
  <si>
    <t xml:space="preserve">Distinct chain brands</t>
  </si>
  <si>
    <t xml:space="preserve">TOTAL ENTRIES</t>
  </si>
  <si>
    <t xml:space="preserve">Directory tab - by emirate</t>
  </si>
  <si>
    <t xml:space="preserve">Emirate</t>
  </si>
  <si>
    <t xml:space="preserve">Cafeterias</t>
  </si>
  <si>
    <t xml:space="preserve">Local restaurants</t>
  </si>
  <si>
    <t xml:space="preserve">Chains / multi-branch</t>
  </si>
  <si>
    <t xml:space="preserve">Total</t>
  </si>
  <si>
    <t xml:space="preserve">Dubai</t>
  </si>
  <si>
    <t xml:space="preserve">Abu Dhabi</t>
  </si>
  <si>
    <t xml:space="preserve">Sharjah</t>
  </si>
  <si>
    <t xml:space="preserve">Ajman</t>
  </si>
  <si>
    <t xml:space="preserve">Ras Al Khaimah</t>
  </si>
  <si>
    <t xml:space="preserve">Fujairah</t>
  </si>
  <si>
    <t xml:space="preserve">Umm Al Quwain</t>
  </si>
  <si>
    <t xml:space="preserve">TOTAL</t>
  </si>
  <si>
    <t xml:space="preserve">Chain Branches tab - branches by emirate</t>
  </si>
  <si>
    <t xml:space="preserve">Branches</t>
  </si>
  <si>
    <t xml:space="preserve">Open 24 hours (both tabs)</t>
  </si>
  <si>
    <t xml:space="preserve">Distinct areas / districts (Directory)</t>
  </si>
  <si>
    <t xml:space="preserve">Notes</t>
  </si>
  <si>
    <t xml:space="preserve">Directory tab holds independent cafeterias, local restaurants and homegrown multi-branch brands found by searching area by area.</t>
  </si>
  <si>
    <t xml:space="preserve">Chain Branches tab holds named QSR and casual-dining chains searched by brand: McDonald's, KFC, Pizza Hut, Burger King, Hardee's, AlBaik,</t>
  </si>
  <si>
    <t xml:space="preserve">Subway, Domino's, Papa John's, Texas Chicken, Popeyes, Jollibee, Chowking, Shake Shack, Five Guys, Nando's, Wendy's, Tim Hortons,</t>
  </si>
  <si>
    <t xml:space="preserve">Costa, Starbucks, Krispy Kreme, Baskin Robbins, Chili's, Cheesecake Factory, Eggspectation, Al Safadi, Automatic, Ravi, Bikanervala,</t>
  </si>
  <si>
    <t xml:space="preserve">Saravanaa Bhavan, Calicut Paragon, Gazebo, Karachi Darbar, Al Farooj Fresh, Operation: Falafel, Man'oushe Street, Allo Beirut, Bait Al Mandi.</t>
  </si>
  <si>
    <t xml:space="preserve">Each chain shows a sample of branches, not every outlet - brands such as McDonald's, KFC and Starbucks run well over a hundred UAE sites each.</t>
  </si>
  <si>
    <t xml:space="preserve">Ratings and review counts are a snapshot taken on 21 September 2026 and will drift over time.</t>
  </si>
  <si>
    <t xml:space="preserve">Place details (names, addresses, phone numbers, ratings, opening hours) sourced from Google Places data.</t>
  </si>
  <si>
    <t xml:space="preserve">#</t>
  </si>
  <si>
    <t xml:space="preserve">Name</t>
  </si>
  <si>
    <t xml:space="preserve">Type</t>
  </si>
  <si>
    <t xml:space="preserve">Area / District</t>
  </si>
  <si>
    <t xml:space="preserve">Phone</t>
  </si>
  <si>
    <t xml:space="preserve">Google rating</t>
  </si>
  <si>
    <t xml:space="preserve">Reviews</t>
  </si>
  <si>
    <t xml:space="preserve">Price tier</t>
  </si>
  <si>
    <t xml:space="preserve">Open 24 hrs</t>
  </si>
  <si>
    <t xml:space="preserve">Birds Dubai</t>
  </si>
  <si>
    <t xml:space="preserve">Local restaurant</t>
  </si>
  <si>
    <t xml:space="preserve">Address Downtown</t>
  </si>
  <si>
    <t xml:space="preserve">+971 50 275 4844</t>
  </si>
  <si>
    <t xml:space="preserve">$$$$</t>
  </si>
  <si>
    <t xml:space="preserve">No</t>
  </si>
  <si>
    <t xml:space="preserve">GAL Dubai</t>
  </si>
  <si>
    <t xml:space="preserve">+971 4 589 7883</t>
  </si>
  <si>
    <t xml:space="preserve">Urla Restaurant &amp; Lounge</t>
  </si>
  <si>
    <t xml:space="preserve">+971 52 554 5997</t>
  </si>
  <si>
    <t xml:space="preserve">Al Khayal Cafeteria</t>
  </si>
  <si>
    <t xml:space="preserve">Cafeteria</t>
  </si>
  <si>
    <t xml:space="preserve">Al Bada'a, Satwa</t>
  </si>
  <si>
    <t xml:space="preserve">+971 50 695 9167</t>
  </si>
  <si>
    <t xml:space="preserve">$</t>
  </si>
  <si>
    <t xml:space="preserve">Yes</t>
  </si>
  <si>
    <t xml:space="preserve">Al Mashawi Al Halabya</t>
  </si>
  <si>
    <t xml:space="preserve">Chain / multi-branch</t>
  </si>
  <si>
    <t xml:space="preserve">Al Barsha 1</t>
  </si>
  <si>
    <t xml:space="preserve">+971 600 586666</t>
  </si>
  <si>
    <t xml:space="preserve">$$</t>
  </si>
  <si>
    <t xml:space="preserve">Culinary Park Restaurant</t>
  </si>
  <si>
    <t xml:space="preserve">+971 4 220 0077</t>
  </si>
  <si>
    <t xml:space="preserve">Maharaja Bhog Al Barsha</t>
  </si>
  <si>
    <t xml:space="preserve">+971 50 698 4118</t>
  </si>
  <si>
    <t xml:space="preserve">Spice Avenue Restaurant</t>
  </si>
  <si>
    <t xml:space="preserve">+971 4 201 6980</t>
  </si>
  <si>
    <t xml:space="preserve">Sultan Al Arab Restaurant Al Barsha</t>
  </si>
  <si>
    <t xml:space="preserve">+971 52 471 0164</t>
  </si>
  <si>
    <t xml:space="preserve">The Mother Restaurant Al Barsha</t>
  </si>
  <si>
    <t xml:space="preserve">+971 4 361 9955</t>
  </si>
  <si>
    <t xml:space="preserve">Lido Restaurant Al Barsha</t>
  </si>
  <si>
    <t xml:space="preserve">Al Barsha 2</t>
  </si>
  <si>
    <t xml:space="preserve">+971 4 852 3545</t>
  </si>
  <si>
    <t xml:space="preserve">tashas Al Barsha</t>
  </si>
  <si>
    <t xml:space="preserve">+971 4 589 3322</t>
  </si>
  <si>
    <t xml:space="preserve">Arabian Tea House - Al Fahidi</t>
  </si>
  <si>
    <t xml:space="preserve">Al Fahidi, Bur Dubai</t>
  </si>
  <si>
    <t xml:space="preserve">+971 4 353 5071</t>
  </si>
  <si>
    <t xml:space="preserve">Thalassery Cafeteria</t>
  </si>
  <si>
    <t xml:space="preserve">+971 56 526 5799</t>
  </si>
  <si>
    <t xml:space="preserve">Get More Cafeteria Al Quoz</t>
  </si>
  <si>
    <t xml:space="preserve">Al Faris Mall, Al Quoz 1</t>
  </si>
  <si>
    <t xml:space="preserve">+971 58 103 7611</t>
  </si>
  <si>
    <t xml:space="preserve">Master Cup Restaurant</t>
  </si>
  <si>
    <t xml:space="preserve">Al Hamriya, Bur Dubai</t>
  </si>
  <si>
    <t xml:space="preserve">+971 4 351 8451</t>
  </si>
  <si>
    <t xml:space="preserve">Al Hara Cafeteria</t>
  </si>
  <si>
    <t xml:space="preserve">Al Karama</t>
  </si>
  <si>
    <t xml:space="preserve">+971 4 396 5133</t>
  </si>
  <si>
    <t xml:space="preserve">Al Madina Wide Range Restaurant</t>
  </si>
  <si>
    <t xml:space="preserve">+971 4 357 3888</t>
  </si>
  <si>
    <t xml:space="preserve">City Corner Cafeteria</t>
  </si>
  <si>
    <t xml:space="preserve">+971 50 968 8729</t>
  </si>
  <si>
    <t xml:space="preserve">Hara Disco Chai Cafeteria</t>
  </si>
  <si>
    <t xml:space="preserve">+971 4 451 9966</t>
  </si>
  <si>
    <t xml:space="preserve">Moongate Cafeteria</t>
  </si>
  <si>
    <t xml:space="preserve">+971 4 336 6899</t>
  </si>
  <si>
    <t xml:space="preserve">Noor Al Hara Cafeteria</t>
  </si>
  <si>
    <t xml:space="preserve">+971 4 323 2259</t>
  </si>
  <si>
    <t xml:space="preserve">Spicy Cafe Mandi &amp; Grill Karama</t>
  </si>
  <si>
    <t xml:space="preserve">+971 56 433 7001</t>
  </si>
  <si>
    <t xml:space="preserve">Teeffee &amp; Malabar Plate Karama</t>
  </si>
  <si>
    <t xml:space="preserve">+971 4 546 4444</t>
  </si>
  <si>
    <t xml:space="preserve">Thalassery Restaurant Karama</t>
  </si>
  <si>
    <t xml:space="preserve">+971 4 396 6786</t>
  </si>
  <si>
    <t xml:space="preserve">Zam Zam Mandi Restaurant</t>
  </si>
  <si>
    <t xml:space="preserve">+971 4 370 6777</t>
  </si>
  <si>
    <t xml:space="preserve">Sofia's Kitchen</t>
  </si>
  <si>
    <t xml:space="preserve">Al Khail / Business Bay</t>
  </si>
  <si>
    <t xml:space="preserve">+971 4 545 2121</t>
  </si>
  <si>
    <t xml:space="preserve">Sandwich Club Restaurant &amp; Cafeteria</t>
  </si>
  <si>
    <t xml:space="preserve">Al Muraqqabat / Al Rigga</t>
  </si>
  <si>
    <t xml:space="preserve">+971 4 228 8890</t>
  </si>
  <si>
    <t xml:space="preserve">Al Riqa Falcon Cafeteria</t>
  </si>
  <si>
    <t xml:space="preserve">Al Muraqqabat, Deira</t>
  </si>
  <si>
    <t xml:space="preserve">+971 54 591 6049</t>
  </si>
  <si>
    <t xml:space="preserve">Jabal Al Raha Cafeteria Al Rigga</t>
  </si>
  <si>
    <t xml:space="preserve">+971 55 717 1280</t>
  </si>
  <si>
    <t xml:space="preserve">Tely Cafe Al Rigga</t>
  </si>
  <si>
    <t xml:space="preserve">+971 58 965 3313</t>
  </si>
  <si>
    <t xml:space="preserve">The Choco Monarch</t>
  </si>
  <si>
    <t xml:space="preserve">+971 4 255 1183</t>
  </si>
  <si>
    <t xml:space="preserve">Infinity Cafe Lounge</t>
  </si>
  <si>
    <t xml:space="preserve">Al Nahda 1</t>
  </si>
  <si>
    <t xml:space="preserve">+971 55 609 1192</t>
  </si>
  <si>
    <t xml:space="preserve">-</t>
  </si>
  <si>
    <t xml:space="preserve">La Brew Tabu Cafe</t>
  </si>
  <si>
    <t xml:space="preserve">+971 56 533 0030</t>
  </si>
  <si>
    <t xml:space="preserve">Loca Mocha Restaurant and Cafe</t>
  </si>
  <si>
    <t xml:space="preserve">+971 4 283 2313</t>
  </si>
  <si>
    <t xml:space="preserve">Sports Star Restaurant &amp; Cafeteria</t>
  </si>
  <si>
    <t xml:space="preserve">+971 4 269 7780</t>
  </si>
  <si>
    <t xml:space="preserve">TiDas Goan Flavors</t>
  </si>
  <si>
    <t xml:space="preserve">+971 55 334 4871</t>
  </si>
  <si>
    <t xml:space="preserve">Valley Cafe 3</t>
  </si>
  <si>
    <t xml:space="preserve">+971 4 452 2274</t>
  </si>
  <si>
    <t xml:space="preserve">Al Nahda Tea Junction Cafe</t>
  </si>
  <si>
    <t xml:space="preserve">Al Nahda 2</t>
  </si>
  <si>
    <t xml:space="preserve">+971 54 747 3235</t>
  </si>
  <si>
    <t xml:space="preserve">Wejdan Cafe &amp; Restaurant Al Nahda 2</t>
  </si>
  <si>
    <t xml:space="preserve">+971 50 264 1688</t>
  </si>
  <si>
    <t xml:space="preserve">Al Masa Cafeteria Al Quoz (Br 5)</t>
  </si>
  <si>
    <t xml:space="preserve">Al Quoz 3</t>
  </si>
  <si>
    <t xml:space="preserve">+971 56 109 1294</t>
  </si>
  <si>
    <t xml:space="preserve">Al Quoz View Restaurant &amp; Cafeteria</t>
  </si>
  <si>
    <t xml:space="preserve">+971 52 324 9850</t>
  </si>
  <si>
    <t xml:space="preserve">U&amp;I Cafe Al Quoz 4</t>
  </si>
  <si>
    <t xml:space="preserve">+971 50 349 7040</t>
  </si>
  <si>
    <t xml:space="preserve">Star One Restaurant</t>
  </si>
  <si>
    <t xml:space="preserve">Al Quoz 4</t>
  </si>
  <si>
    <t xml:space="preserve">+971 4 321 8283</t>
  </si>
  <si>
    <t xml:space="preserve">Desi Sialkot Restaurant Al Quoz</t>
  </si>
  <si>
    <t xml:space="preserve">Al Quoz Industrial 2</t>
  </si>
  <si>
    <t xml:space="preserve">+971 55 486 7719</t>
  </si>
  <si>
    <t xml:space="preserve">Lims Cafe</t>
  </si>
  <si>
    <t xml:space="preserve">+971 55 339 3380</t>
  </si>
  <si>
    <t xml:space="preserve">Tea Days Cafeteria Al Quoz Ind 4</t>
  </si>
  <si>
    <t xml:space="preserve">Al Quoz Industrial 4</t>
  </si>
  <si>
    <t xml:space="preserve">+971 56 799 3706</t>
  </si>
  <si>
    <t xml:space="preserve">Shater Restaurant &amp; Cafeteria</t>
  </si>
  <si>
    <t xml:space="preserve">Al Qusais 3 / Al Twar 4</t>
  </si>
  <si>
    <t xml:space="preserve">+971 4 264 0092</t>
  </si>
  <si>
    <t xml:space="preserve">Charcoal Chowk Cafeteria</t>
  </si>
  <si>
    <t xml:space="preserve">Al Raffa, Bur Dubai</t>
  </si>
  <si>
    <t xml:space="preserve">+971 56 686 0500</t>
  </si>
  <si>
    <t xml:space="preserve">Light Star Cafeteria</t>
  </si>
  <si>
    <t xml:space="preserve">+971 4 355 4121</t>
  </si>
  <si>
    <t xml:space="preserve">Bonanza Restaurant</t>
  </si>
  <si>
    <t xml:space="preserve">Al Rigga, Deira</t>
  </si>
  <si>
    <t xml:space="preserve">+971 54 793 6123</t>
  </si>
  <si>
    <t xml:space="preserve">Els Coffee &amp; More</t>
  </si>
  <si>
    <t xml:space="preserve">+971 52 757 1089</t>
  </si>
  <si>
    <t xml:space="preserve">Jbroz Restaurant Al Rigga</t>
  </si>
  <si>
    <t xml:space="preserve">+971 52 131 5373</t>
  </si>
  <si>
    <t xml:space="preserve">Al Masa Cafeteria (Br 2)</t>
  </si>
  <si>
    <t xml:space="preserve">Al Satwa</t>
  </si>
  <si>
    <t xml:space="preserve">+971 4 332 7900</t>
  </si>
  <si>
    <t xml:space="preserve">Get More Cafeteria Satwa</t>
  </si>
  <si>
    <t xml:space="preserve">+971 52 323 1025</t>
  </si>
  <si>
    <t xml:space="preserve">Punjab Zaiqa Sweets</t>
  </si>
  <si>
    <t xml:space="preserve">+971 4 337 6735</t>
  </si>
  <si>
    <t xml:space="preserve">Satwa Falcon Cafeteria</t>
  </si>
  <si>
    <t xml:space="preserve">+971 4 321 3126</t>
  </si>
  <si>
    <t xml:space="preserve">Satwa Star Plus Restaurant</t>
  </si>
  <si>
    <t xml:space="preserve">+971 4 886 6370</t>
  </si>
  <si>
    <t xml:space="preserve">Tea Mate Cafeteria Al Satwa</t>
  </si>
  <si>
    <t xml:space="preserve">+971 58 157 0022</t>
  </si>
  <si>
    <t xml:space="preserve">Wadi Shukran Cafeteria</t>
  </si>
  <si>
    <t xml:space="preserve">+971 55 241 5110</t>
  </si>
  <si>
    <t xml:space="preserve">Gulf Light Cafeteria &amp; Restaurant</t>
  </si>
  <si>
    <t xml:space="preserve">Al Twar 4, Al Qusais</t>
  </si>
  <si>
    <t xml:space="preserve">+971 4 264 9955</t>
  </si>
  <si>
    <t xml:space="preserve">Qasr Al Baik Restaurant</t>
  </si>
  <si>
    <t xml:space="preserve">+971 4 220 0055</t>
  </si>
  <si>
    <t xml:space="preserve">Smart Grill Restaurant and Cafeteria</t>
  </si>
  <si>
    <t xml:space="preserve">+971 54 444 8955</t>
  </si>
  <si>
    <t xml:space="preserve">Top Cafeteria / Cafeteria Alqemma</t>
  </si>
  <si>
    <t xml:space="preserve">+971 4 264 8316</t>
  </si>
  <si>
    <t xml:space="preserve">Dhe Swagat Cafe</t>
  </si>
  <si>
    <t xml:space="preserve">Al Twar 5, Al Qusais</t>
  </si>
  <si>
    <t xml:space="preserve">+971 4 272 3379</t>
  </si>
  <si>
    <t xml:space="preserve">Karrak Shay</t>
  </si>
  <si>
    <t xml:space="preserve">+971 4 880 9383</t>
  </si>
  <si>
    <t xml:space="preserve">Koukh Al Shay Al Qusais</t>
  </si>
  <si>
    <t xml:space="preserve">+971 56 455 9213</t>
  </si>
  <si>
    <t xml:space="preserve">Bab Al Nojoom Restaurant</t>
  </si>
  <si>
    <t xml:space="preserve">Al Warqa 1</t>
  </si>
  <si>
    <t xml:space="preserve">+971 4 564 0277</t>
  </si>
  <si>
    <t xml:space="preserve">Green Land Restaurant Al Warqa</t>
  </si>
  <si>
    <t xml:space="preserve">+971 4 232 3623</t>
  </si>
  <si>
    <t xml:space="preserve">Kannur Star Restaurant</t>
  </si>
  <si>
    <t xml:space="preserve">+971 4 333 7450</t>
  </si>
  <si>
    <t xml:space="preserve">Koottu Curry Restaurant</t>
  </si>
  <si>
    <t xml:space="preserve">+971 4 282 1224</t>
  </si>
  <si>
    <t xml:space="preserve">Malabar Thaza Restaurant</t>
  </si>
  <si>
    <t xml:space="preserve">+971 4 330 4456</t>
  </si>
  <si>
    <t xml:space="preserve">Taste N Taste</t>
  </si>
  <si>
    <t xml:space="preserve">+971 4 321 3242</t>
  </si>
  <si>
    <t xml:space="preserve">The Big Mama Al Warqa</t>
  </si>
  <si>
    <t xml:space="preserve">Al Warqa 2</t>
  </si>
  <si>
    <t xml:space="preserve">Not Only Fish Dubai</t>
  </si>
  <si>
    <t xml:space="preserve">Almas Tower, JLT</t>
  </si>
  <si>
    <t xml:space="preserve">+971 4 554 0707</t>
  </si>
  <si>
    <t xml:space="preserve">Girl &amp; the Goose</t>
  </si>
  <si>
    <t xml:space="preserve">Anantara, Business Bay</t>
  </si>
  <si>
    <t xml:space="preserve">+971 4 575 3760</t>
  </si>
  <si>
    <t xml:space="preserve">$$$</t>
  </si>
  <si>
    <t xml:space="preserve">Maison Mathis Arabian Ranches</t>
  </si>
  <si>
    <t xml:space="preserve">Arabian Ranches</t>
  </si>
  <si>
    <t xml:space="preserve">+971 4 450 1313</t>
  </si>
  <si>
    <t xml:space="preserve">Paul Cafe Arabian Ranches 1</t>
  </si>
  <si>
    <t xml:space="preserve">+971 4 585 9776</t>
  </si>
  <si>
    <t xml:space="preserve">Sisi's Eatery Arabian Ranches</t>
  </si>
  <si>
    <t xml:space="preserve">+971 4 585 9224</t>
  </si>
  <si>
    <t xml:space="preserve">The Hamptons Cafe &amp; Restaurant</t>
  </si>
  <si>
    <t xml:space="preserve">+971 4 580 8615</t>
  </si>
  <si>
    <t xml:space="preserve">Sansation Arabian Ranches</t>
  </si>
  <si>
    <t xml:space="preserve">Arabian Ranches 2</t>
  </si>
  <si>
    <t xml:space="preserve">+971 4 243 7610</t>
  </si>
  <si>
    <t xml:space="preserve">Ranches Restaurant</t>
  </si>
  <si>
    <t xml:space="preserve">Arabian Ranches Golf Club</t>
  </si>
  <si>
    <t xml:space="preserve">+971 4 366 4725</t>
  </si>
  <si>
    <t xml:space="preserve">3BK Restaurant Burj Khalifa</t>
  </si>
  <si>
    <t xml:space="preserve">Armani Hotel, Burj Khalifa</t>
  </si>
  <si>
    <t xml:space="preserve">+971 4 888 6333</t>
  </si>
  <si>
    <t xml:space="preserve">Mama'esh Al Warqa</t>
  </si>
  <si>
    <t xml:space="preserve">Aswaaq Mall, Al Warqa 3</t>
  </si>
  <si>
    <t xml:space="preserve">+971 600 548287</t>
  </si>
  <si>
    <t xml:space="preserve">La Sirene Restaurant Dubai</t>
  </si>
  <si>
    <t xml:space="preserve">Avani+ Palm View, Media City</t>
  </si>
  <si>
    <t xml:space="preserve">+971 50 173 8434</t>
  </si>
  <si>
    <t xml:space="preserve">Lola Taberna Espanola</t>
  </si>
  <si>
    <t xml:space="preserve">Barsha Heights</t>
  </si>
  <si>
    <t xml:space="preserve">+971 4 247 6688</t>
  </si>
  <si>
    <t xml:space="preserve">Jasmira</t>
  </si>
  <si>
    <t xml:space="preserve">Bay Central, Dubai Marina</t>
  </si>
  <si>
    <t xml:space="preserve">+971 4 576 2985</t>
  </si>
  <si>
    <t xml:space="preserve">Amadio Italian Restaurant JVC</t>
  </si>
  <si>
    <t xml:space="preserve">Bloom Heights, JVC</t>
  </si>
  <si>
    <t xml:space="preserve">+971 4 770 2255</t>
  </si>
  <si>
    <t xml:space="preserve">Othmans Lounge</t>
  </si>
  <si>
    <t xml:space="preserve">Burj Residences, Downtown</t>
  </si>
  <si>
    <t xml:space="preserve">Loop Restaurant</t>
  </si>
  <si>
    <t xml:space="preserve">Business Bay</t>
  </si>
  <si>
    <t xml:space="preserve">+971 4 506 4500</t>
  </si>
  <si>
    <t xml:space="preserve">The Banc Dubai</t>
  </si>
  <si>
    <t xml:space="preserve">+971 4 566 2262</t>
  </si>
  <si>
    <t xml:space="preserve">Pulcinella Restaurant</t>
  </si>
  <si>
    <t xml:space="preserve">Canal Residence, Sports City</t>
  </si>
  <si>
    <t xml:space="preserve">+971 4 277 6281</t>
  </si>
  <si>
    <t xml:space="preserve">LOUI Restaurant &amp; Cafe Circle Mall</t>
  </si>
  <si>
    <t xml:space="preserve">Circle Mall, JVC</t>
  </si>
  <si>
    <t xml:space="preserve">+971 4 564 2535</t>
  </si>
  <si>
    <t xml:space="preserve">The Bhukkad Cafe</t>
  </si>
  <si>
    <t xml:space="preserve">City Centre Deira</t>
  </si>
  <si>
    <t xml:space="preserve">+971 4 263 1034</t>
  </si>
  <si>
    <t xml:space="preserve">Bosporus Turkish Cuisine CCM</t>
  </si>
  <si>
    <t xml:space="preserve">City Centre Mirdif</t>
  </si>
  <si>
    <t xml:space="preserve">+971 4 380 8090</t>
  </si>
  <si>
    <t xml:space="preserve">Brunch &amp; Cake City Centre Mirdif</t>
  </si>
  <si>
    <t xml:space="preserve">+971 4 236 5222</t>
  </si>
  <si>
    <t xml:space="preserve">Falla Mirdif City Centre</t>
  </si>
  <si>
    <t xml:space="preserve">+971 4 288 7799</t>
  </si>
  <si>
    <t xml:space="preserve">The Coop House City Centre Mirdif</t>
  </si>
  <si>
    <t xml:space="preserve">+971 4 327 5759</t>
  </si>
  <si>
    <t xml:space="preserve">Anzeera Restaurant &amp; Lounge</t>
  </si>
  <si>
    <t xml:space="preserve">Damac Paramount, Business Bay</t>
  </si>
  <si>
    <t xml:space="preserve">+971 55 536 2026</t>
  </si>
  <si>
    <t xml:space="preserve">Day &amp; Night Cafeteria</t>
  </si>
  <si>
    <t xml:space="preserve">Deira</t>
  </si>
  <si>
    <t xml:space="preserve">+971 4 297 7703</t>
  </si>
  <si>
    <t xml:space="preserve">Colors Cafe</t>
  </si>
  <si>
    <t xml:space="preserve">Deira City Centre</t>
  </si>
  <si>
    <t xml:space="preserve">+971 4 294 4221</t>
  </si>
  <si>
    <t xml:space="preserve">La Gaufrette</t>
  </si>
  <si>
    <t xml:space="preserve">+971 4 295 0073</t>
  </si>
  <si>
    <t xml:space="preserve">Dar Al Shay Cafeteria Discovery Gardens</t>
  </si>
  <si>
    <t xml:space="preserve">Discovery Gardens</t>
  </si>
  <si>
    <t xml:space="preserve">+971 52 138 1431</t>
  </si>
  <si>
    <t xml:space="preserve">Freddo Cafe</t>
  </si>
  <si>
    <t xml:space="preserve">+971 4 566 7632</t>
  </si>
  <si>
    <t xml:space="preserve">TNAGAR Cafe Discovery Gardens</t>
  </si>
  <si>
    <t xml:space="preserve">+971 4 433 2086</t>
  </si>
  <si>
    <t xml:space="preserve">Aurum Restaurant &amp; Cafe</t>
  </si>
  <si>
    <t xml:space="preserve">Discovery Gardens Pavilion</t>
  </si>
  <si>
    <t xml:space="preserve">+971 4 580 7214</t>
  </si>
  <si>
    <t xml:space="preserve">Layali Garden Lounge</t>
  </si>
  <si>
    <t xml:space="preserve">+971 58 209 1141</t>
  </si>
  <si>
    <t xml:space="preserve">Super Bowl Asian Cafe</t>
  </si>
  <si>
    <t xml:space="preserve">+971 4 571 2888</t>
  </si>
  <si>
    <t xml:space="preserve">Traum Kaffee</t>
  </si>
  <si>
    <t xml:space="preserve">+971 52 890 6600</t>
  </si>
  <si>
    <t xml:space="preserve">FRNDS Restaurant</t>
  </si>
  <si>
    <t xml:space="preserve">Downtown Dubai</t>
  </si>
  <si>
    <t xml:space="preserve">+971 4 564 2399</t>
  </si>
  <si>
    <t xml:space="preserve">Sargon Restaurant Dubai</t>
  </si>
  <si>
    <t xml:space="preserve">+971 52 276 3941</t>
  </si>
  <si>
    <t xml:space="preserve">Joe's Backyard</t>
  </si>
  <si>
    <t xml:space="preserve">Dubai Festival City</t>
  </si>
  <si>
    <t xml:space="preserve">+971 55 709 4509</t>
  </si>
  <si>
    <t xml:space="preserve">L'ETO Dubai Festival City</t>
  </si>
  <si>
    <t xml:space="preserve">Dubai Festival City Mall</t>
  </si>
  <si>
    <t xml:space="preserve">+971 4 344 8313</t>
  </si>
  <si>
    <t xml:space="preserve">Osteria Mario Dubai Festival City</t>
  </si>
  <si>
    <t xml:space="preserve">+971 52 220 0868</t>
  </si>
  <si>
    <t xml:space="preserve">SALT Dubai Festival City</t>
  </si>
  <si>
    <t xml:space="preserve">+971 600 555551</t>
  </si>
  <si>
    <t xml:space="preserve">Shvili Dubai Festival City</t>
  </si>
  <si>
    <t xml:space="preserve">The Bay by Social</t>
  </si>
  <si>
    <t xml:space="preserve">The Market Island</t>
  </si>
  <si>
    <t xml:space="preserve">+971 58 524 5807</t>
  </si>
  <si>
    <t xml:space="preserve">Dinner In The Sky</t>
  </si>
  <si>
    <t xml:space="preserve">Dubai Harbour</t>
  </si>
  <si>
    <t xml:space="preserve">+971 58 819 3296</t>
  </si>
  <si>
    <t xml:space="preserve">Awani Marina Mall</t>
  </si>
  <si>
    <t xml:space="preserve">Dubai Marina</t>
  </si>
  <si>
    <t xml:space="preserve">+971 4 289 0715</t>
  </si>
  <si>
    <t xml:space="preserve">L'ETO Marina Mall</t>
  </si>
  <si>
    <t xml:space="preserve">+971 4 327 9963</t>
  </si>
  <si>
    <t xml:space="preserve">Oliva Italian Restaurant</t>
  </si>
  <si>
    <t xml:space="preserve">+971 4 491 9555</t>
  </si>
  <si>
    <t xml:space="preserve">ZETA Seventy Seven</t>
  </si>
  <si>
    <t xml:space="preserve">+971 4 879 8866</t>
  </si>
  <si>
    <t xml:space="preserve">ILOLI</t>
  </si>
  <si>
    <t xml:space="preserve">Dubai Marina Walk</t>
  </si>
  <si>
    <t xml:space="preserve">+971 50 707 7917</t>
  </si>
  <si>
    <t xml:space="preserve">Circle Cafe Dubai Media City</t>
  </si>
  <si>
    <t xml:space="preserve">Dubai Media City</t>
  </si>
  <si>
    <t xml:space="preserve">+971 56 455 7993</t>
  </si>
  <si>
    <t xml:space="preserve">L'AVO</t>
  </si>
  <si>
    <t xml:space="preserve">+971 58 800 1354</t>
  </si>
  <si>
    <t xml:space="preserve">Marini Restaurant</t>
  </si>
  <si>
    <t xml:space="preserve">+971 55 226 2960</t>
  </si>
  <si>
    <t xml:space="preserve">NAYAS Restaurant &amp; Cafe Media City</t>
  </si>
  <si>
    <t xml:space="preserve">+971 4 368 8188</t>
  </si>
  <si>
    <t xml:space="preserve">Better Together Cafe Motor City</t>
  </si>
  <si>
    <t xml:space="preserve">Dubai Motor City</t>
  </si>
  <si>
    <t xml:space="preserve">+971 4 554 8993</t>
  </si>
  <si>
    <t xml:space="preserve">Brass Monkey Motor City</t>
  </si>
  <si>
    <t xml:space="preserve">+971 4 445 1444</t>
  </si>
  <si>
    <t xml:space="preserve">Manaret Beirut Restaurant and Cafe</t>
  </si>
  <si>
    <t xml:space="preserve">+971 800 6262738</t>
  </si>
  <si>
    <t xml:space="preserve">Nay City Restaurant and Cafe</t>
  </si>
  <si>
    <t xml:space="preserve">+971 52 668 8091</t>
  </si>
  <si>
    <t xml:space="preserve">SALT Motor City</t>
  </si>
  <si>
    <t xml:space="preserve">Sansation Motor City</t>
  </si>
  <si>
    <t xml:space="preserve">+971 4 456 7371</t>
  </si>
  <si>
    <t xml:space="preserve">Bosporus Silicon Oasis</t>
  </si>
  <si>
    <t xml:space="preserve">Dubai Silicon Oasis</t>
  </si>
  <si>
    <t xml:space="preserve">+971 4 350 9300</t>
  </si>
  <si>
    <t xml:space="preserve">Foodings Restaurant</t>
  </si>
  <si>
    <t xml:space="preserve">+971 4 546 6623</t>
  </si>
  <si>
    <t xml:space="preserve">Little Bangkok Silicon Oasis</t>
  </si>
  <si>
    <t xml:space="preserve">+971 800 2264565</t>
  </si>
  <si>
    <t xml:space="preserve">Mogao Restobar &amp; Lounge</t>
  </si>
  <si>
    <t xml:space="preserve">+971 4 554 8220</t>
  </si>
  <si>
    <t xml:space="preserve">Beef Station Restaurant &amp; Butchery</t>
  </si>
  <si>
    <t xml:space="preserve">Dubai Sports City</t>
  </si>
  <si>
    <t xml:space="preserve">+971 52 449 8806</t>
  </si>
  <si>
    <t xml:space="preserve">Galambo Seafood Restaurant</t>
  </si>
  <si>
    <t xml:space="preserve">+971 56 331 6995</t>
  </si>
  <si>
    <t xml:space="preserve">Kick Cafe</t>
  </si>
  <si>
    <t xml:space="preserve">+971 52 753 2038</t>
  </si>
  <si>
    <t xml:space="preserve">LaFamiglia Dubai</t>
  </si>
  <si>
    <t xml:space="preserve">+971 52 303 2971</t>
  </si>
  <si>
    <t xml:space="preserve">Olive &amp; Thyme Restaurant</t>
  </si>
  <si>
    <t xml:space="preserve">+971 4 552 6116</t>
  </si>
  <si>
    <t xml:space="preserve">Ula Dubai</t>
  </si>
  <si>
    <t xml:space="preserve">Dukes The Palm</t>
  </si>
  <si>
    <t xml:space="preserve">+971 4 566 3041</t>
  </si>
  <si>
    <t xml:space="preserve">Big Easy Bar &amp; Grill</t>
  </si>
  <si>
    <t xml:space="preserve">Els Club, Sports City</t>
  </si>
  <si>
    <t xml:space="preserve">+971 4 425 1000</t>
  </si>
  <si>
    <t xml:space="preserve">Tom Yum Kung</t>
  </si>
  <si>
    <t xml:space="preserve">England Cluster, International City</t>
  </si>
  <si>
    <t xml:space="preserve">+971 56 426 5679</t>
  </si>
  <si>
    <t xml:space="preserve">Soul St. FIVE JVC</t>
  </si>
  <si>
    <t xml:space="preserve">FIVE Jumeirah Village</t>
  </si>
  <si>
    <t xml:space="preserve">+971 4 248 9989</t>
  </si>
  <si>
    <t xml:space="preserve">Maiden Shanghai</t>
  </si>
  <si>
    <t xml:space="preserve">FIVE Palm Jumeirah</t>
  </si>
  <si>
    <t xml:space="preserve">+971 4 455 9989</t>
  </si>
  <si>
    <t xml:space="preserve">NUMA FIVE Palm Jumeirah</t>
  </si>
  <si>
    <t xml:space="preserve">Praia Beach Restaurant &amp; Lounge</t>
  </si>
  <si>
    <t xml:space="preserve">+971 58 869 8996</t>
  </si>
  <si>
    <t xml:space="preserve">COYA Dubai</t>
  </si>
  <si>
    <t xml:space="preserve">Four Seasons, Jumeirah 2</t>
  </si>
  <si>
    <t xml:space="preserve">+971 4 316 9600</t>
  </si>
  <si>
    <t xml:space="preserve">Diamond Tea Cafe</t>
  </si>
  <si>
    <t xml:space="preserve">France Cluster, International City</t>
  </si>
  <si>
    <t xml:space="preserve">+971 4 578 8016</t>
  </si>
  <si>
    <t xml:space="preserve">Tandoori Nights</t>
  </si>
  <si>
    <t xml:space="preserve">+971 58 918 5125</t>
  </si>
  <si>
    <t xml:space="preserve">Dyar Al Sham Restaurant</t>
  </si>
  <si>
    <t xml:space="preserve">International City</t>
  </si>
  <si>
    <t xml:space="preserve">+971 4 430 8843</t>
  </si>
  <si>
    <t xml:space="preserve">Green Land Restaurant International City</t>
  </si>
  <si>
    <t xml:space="preserve">+971 52 379 7952</t>
  </si>
  <si>
    <t xml:space="preserve">Sagar Ratna International City</t>
  </si>
  <si>
    <t xml:space="preserve">+971 4 264 2539</t>
  </si>
  <si>
    <t xml:space="preserve">Ashru Shai Cafeteria</t>
  </si>
  <si>
    <t xml:space="preserve">Jebel Ali Industrial 1</t>
  </si>
  <si>
    <t xml:space="preserve">+971 4 577 2240</t>
  </si>
  <si>
    <t xml:space="preserve">Haji Aslam Cafe &amp; Restaurant</t>
  </si>
  <si>
    <t xml:space="preserve">+971 58 616 1804</t>
  </si>
  <si>
    <t xml:space="preserve">NT Cafe Jebel Ali Industrial 1</t>
  </si>
  <si>
    <t xml:space="preserve">+971 55 829 1223</t>
  </si>
  <si>
    <t xml:space="preserve">Sayma Star Restaurant</t>
  </si>
  <si>
    <t xml:space="preserve">+971 50 432 5056</t>
  </si>
  <si>
    <t xml:space="preserve">Tea Tale Cafeteria</t>
  </si>
  <si>
    <t xml:space="preserve">+971 4 333 1209</t>
  </si>
  <si>
    <t xml:space="preserve">Tea Way Star Restaurant</t>
  </si>
  <si>
    <t xml:space="preserve">+971 55 903 4626</t>
  </si>
  <si>
    <t xml:space="preserve">Chaayos Cafe &amp; Restaurant</t>
  </si>
  <si>
    <t xml:space="preserve">Jebel Ali Industrial Area</t>
  </si>
  <si>
    <t xml:space="preserve">+971 50 475 3385</t>
  </si>
  <si>
    <t xml:space="preserve">Tea Station Jebel Ali</t>
  </si>
  <si>
    <t xml:space="preserve">PizzaExpress Live JLT</t>
  </si>
  <si>
    <t xml:space="preserve">JLT Cluster A</t>
  </si>
  <si>
    <t xml:space="preserve">+971 4 441 6342</t>
  </si>
  <si>
    <t xml:space="preserve">WEWOK Pan Asian Signatures</t>
  </si>
  <si>
    <t xml:space="preserve">JLT Cluster B</t>
  </si>
  <si>
    <t xml:space="preserve">+971 50 357 3083</t>
  </si>
  <si>
    <t xml:space="preserve">McGettigan's JLT</t>
  </si>
  <si>
    <t xml:space="preserve">JLT Cluster J</t>
  </si>
  <si>
    <t xml:space="preserve">+971 54 998 4152</t>
  </si>
  <si>
    <t xml:space="preserve">Wokyo Noodle Bar JLT</t>
  </si>
  <si>
    <t xml:space="preserve">+971 4 454 2348</t>
  </si>
  <si>
    <t xml:space="preserve">Goa Portuguesa JLT</t>
  </si>
  <si>
    <t xml:space="preserve">JLT Cluster O</t>
  </si>
  <si>
    <t xml:space="preserve">+971 4 577 6261</t>
  </si>
  <si>
    <t xml:space="preserve">Nola Eatery &amp; Social House</t>
  </si>
  <si>
    <t xml:space="preserve">JLT Cluster P</t>
  </si>
  <si>
    <t xml:space="preserve">+971 4 399 8155</t>
  </si>
  <si>
    <t xml:space="preserve">SOON Izakaya</t>
  </si>
  <si>
    <t xml:space="preserve">+971 55 434 0575</t>
  </si>
  <si>
    <t xml:space="preserve">Hawkerboi - The Park JLT</t>
  </si>
  <si>
    <t xml:space="preserve">JLT The Park</t>
  </si>
  <si>
    <t xml:space="preserve">+971 800 3289</t>
  </si>
  <si>
    <t xml:space="preserve">Splendour Fields - The Park JLT</t>
  </si>
  <si>
    <t xml:space="preserve">+971 56 603 0897</t>
  </si>
  <si>
    <t xml:space="preserve">La Villa Medusa</t>
  </si>
  <si>
    <t xml:space="preserve">Jumeirah 1</t>
  </si>
  <si>
    <t xml:space="preserve">+971 4 344 6883</t>
  </si>
  <si>
    <t xml:space="preserve">ZouZou Turkish &amp; Lebanese Restaurant</t>
  </si>
  <si>
    <t xml:space="preserve">+971 4 343 0093</t>
  </si>
  <si>
    <t xml:space="preserve">Arabian Tea House - Jumeirah</t>
  </si>
  <si>
    <t xml:space="preserve">Jumeirah 2</t>
  </si>
  <si>
    <t xml:space="preserve">+971 4 298 4559</t>
  </si>
  <si>
    <t xml:space="preserve">HuQQabaz Jumeirah</t>
  </si>
  <si>
    <t xml:space="preserve">+971 800 47229</t>
  </si>
  <si>
    <t xml:space="preserve">Karachi Grill Restaurant</t>
  </si>
  <si>
    <t xml:space="preserve">+971 4 344 7000</t>
  </si>
  <si>
    <t xml:space="preserve">Bebek Restaurant &amp; Shisha Lounge</t>
  </si>
  <si>
    <t xml:space="preserve">Jumeirah 3</t>
  </si>
  <si>
    <t xml:space="preserve">+971 4 349 0024</t>
  </si>
  <si>
    <t xml:space="preserve">MayaBay Dubai</t>
  </si>
  <si>
    <t xml:space="preserve">Jumeirah Al Naseem, Umm Suqeim 3</t>
  </si>
  <si>
    <t xml:space="preserve">+971 4 275 2500</t>
  </si>
  <si>
    <t xml:space="preserve">Menza Restaurant &amp; Cafe</t>
  </si>
  <si>
    <t xml:space="preserve">Jumeirah Garden City, Satwa</t>
  </si>
  <si>
    <t xml:space="preserve">+971 4 572 7221</t>
  </si>
  <si>
    <t xml:space="preserve">My Sandwich Restaurant</t>
  </si>
  <si>
    <t xml:space="preserve">+971 4 331 8881</t>
  </si>
  <si>
    <t xml:space="preserve">Cloud 10 Restaurant &amp; Cafe</t>
  </si>
  <si>
    <t xml:space="preserve">JVC</t>
  </si>
  <si>
    <t xml:space="preserve">+971 56 907 8023</t>
  </si>
  <si>
    <t xml:space="preserve">Terra Italia Restaurant and Cafe</t>
  </si>
  <si>
    <t xml:space="preserve">JVC District 18</t>
  </si>
  <si>
    <t xml:space="preserve">+971 4 834 1442</t>
  </si>
  <si>
    <t xml:space="preserve">Eugene Eugene</t>
  </si>
  <si>
    <t xml:space="preserve">Kempinski MOE, Al Barsha</t>
  </si>
  <si>
    <t xml:space="preserve">+971 4 379 8963</t>
  </si>
  <si>
    <t xml:space="preserve">Antar Restaurant &amp; Cafeteria</t>
  </si>
  <si>
    <t xml:space="preserve">Mankhool</t>
  </si>
  <si>
    <t xml:space="preserve">+971 4 284 1617</t>
  </si>
  <si>
    <t xml:space="preserve">Baithak Dubai</t>
  </si>
  <si>
    <t xml:space="preserve">+971 54 545 1922</t>
  </si>
  <si>
    <t xml:space="preserve">City Way Coffee Shop Cafeteria</t>
  </si>
  <si>
    <t xml:space="preserve">+971 4 385 3003</t>
  </si>
  <si>
    <t xml:space="preserve">Food Spot Restaurant &amp; Cafeteria</t>
  </si>
  <si>
    <t xml:space="preserve">+971 58 146 7575</t>
  </si>
  <si>
    <t xml:space="preserve">Babati</t>
  </si>
  <si>
    <t xml:space="preserve">Marasi Drive, Business Bay</t>
  </si>
  <si>
    <t xml:space="preserve">+971 4 287 9544</t>
  </si>
  <si>
    <t xml:space="preserve">Soul Kitchen Dubai</t>
  </si>
  <si>
    <t xml:space="preserve">+971 4 836 0900</t>
  </si>
  <si>
    <t xml:space="preserve">Ahla Tallah Grand Gourmet</t>
  </si>
  <si>
    <t xml:space="preserve">Marina Promenade</t>
  </si>
  <si>
    <t xml:space="preserve">+971 50 229 6000</t>
  </si>
  <si>
    <t xml:space="preserve">Blume Dubai Marina</t>
  </si>
  <si>
    <t xml:space="preserve">+971 4 495 6888</t>
  </si>
  <si>
    <t xml:space="preserve">Ciao Bella</t>
  </si>
  <si>
    <t xml:space="preserve">Media One Hotel, Media City</t>
  </si>
  <si>
    <t xml:space="preserve">+971 52 144 7349</t>
  </si>
  <si>
    <t xml:space="preserve">Jabal Al Noor Cafeteria</t>
  </si>
  <si>
    <t xml:space="preserve">Meena Bazaar, Bur Dubai</t>
  </si>
  <si>
    <t xml:space="preserve">+971 4 386 6410</t>
  </si>
  <si>
    <t xml:space="preserve">Layali Mirdif Lebanese Restaurant</t>
  </si>
  <si>
    <t xml:space="preserve">Mirdif</t>
  </si>
  <si>
    <t xml:space="preserve">+971 50 140 7246</t>
  </si>
  <si>
    <t xml:space="preserve">Nama Yoso</t>
  </si>
  <si>
    <t xml:space="preserve">Mirdif Avenue Mall</t>
  </si>
  <si>
    <t xml:space="preserve">+971 4 267 0061</t>
  </si>
  <si>
    <t xml:space="preserve">tashas Mirdif</t>
  </si>
  <si>
    <t xml:space="preserve">Mirdif Hills</t>
  </si>
  <si>
    <t xml:space="preserve">+971 4 491 8845</t>
  </si>
  <si>
    <t xml:space="preserve">The Hungry Monkey</t>
  </si>
  <si>
    <t xml:space="preserve">+971 56 233 7007</t>
  </si>
  <si>
    <t xml:space="preserve">Sonapur Gardens Restaurant</t>
  </si>
  <si>
    <t xml:space="preserve">Muhaisnah 2</t>
  </si>
  <si>
    <t xml:space="preserve">+971 54 221 8448</t>
  </si>
  <si>
    <t xml:space="preserve">Sonapur Restaurant</t>
  </si>
  <si>
    <t xml:space="preserve">+971 55 388 2603</t>
  </si>
  <si>
    <t xml:space="preserve">Sungava Restaurant Sonapur</t>
  </si>
  <si>
    <t xml:space="preserve">+971 4 548 6725</t>
  </si>
  <si>
    <t xml:space="preserve">Tudo Cafe Sonapur</t>
  </si>
  <si>
    <t xml:space="preserve">+971 4 591 9957</t>
  </si>
  <si>
    <t xml:space="preserve">Eat and Joy Restaurant</t>
  </si>
  <si>
    <t xml:space="preserve">Muhaisnah 2 / Sonapur</t>
  </si>
  <si>
    <t xml:space="preserve">+971 56 561 3539</t>
  </si>
  <si>
    <t xml:space="preserve">Dar Al Shay Cafeteria Muhaisnah 3</t>
  </si>
  <si>
    <t xml:space="preserve">Muhaisnah 3</t>
  </si>
  <si>
    <t xml:space="preserve">+971 58 694 7747</t>
  </si>
  <si>
    <t xml:space="preserve">Kanfa Cafeteria</t>
  </si>
  <si>
    <t xml:space="preserve">+971 4 824 9003</t>
  </si>
  <si>
    <t xml:space="preserve">Spicy Cafe Mandi &amp; Grill Naif</t>
  </si>
  <si>
    <t xml:space="preserve">Naif, Deira</t>
  </si>
  <si>
    <t xml:space="preserve">+971 58 860 4337</t>
  </si>
  <si>
    <t xml:space="preserve">Mils Cafe</t>
  </si>
  <si>
    <t xml:space="preserve">One Deira, Corniche</t>
  </si>
  <si>
    <t xml:space="preserve">+971 4 886 7745</t>
  </si>
  <si>
    <t xml:space="preserve">The MAINE Land Brasserie</t>
  </si>
  <si>
    <t xml:space="preserve">Opus, Business Bay</t>
  </si>
  <si>
    <t xml:space="preserve">+971 4 577 6680</t>
  </si>
  <si>
    <t xml:space="preserve">Above Eleven</t>
  </si>
  <si>
    <t xml:space="preserve">Palm West Beach</t>
  </si>
  <si>
    <t xml:space="preserve">+971 4 666 1420</t>
  </si>
  <si>
    <t xml:space="preserve">Trader Vic's Palm Jumeirah</t>
  </si>
  <si>
    <t xml:space="preserve">+971 4 230 0050</t>
  </si>
  <si>
    <t xml:space="preserve">Mama Zonia</t>
  </si>
  <si>
    <t xml:space="preserve">Pier 7, Dubai Marina</t>
  </si>
  <si>
    <t xml:space="preserve">+971 4 240 4747</t>
  </si>
  <si>
    <t xml:space="preserve">Al Zamani Restaurant &amp; Coffee Shop</t>
  </si>
  <si>
    <t xml:space="preserve">Port Saeed, Deira</t>
  </si>
  <si>
    <t xml:space="preserve">+971 4 225 3302</t>
  </si>
  <si>
    <t xml:space="preserve">Khobzah W Fakhaara</t>
  </si>
  <si>
    <t xml:space="preserve">Q1 Mall, Silicon Oasis</t>
  </si>
  <si>
    <t xml:space="preserve">+971 56 500 5516</t>
  </si>
  <si>
    <t xml:space="preserve">Chef's House</t>
  </si>
  <si>
    <t xml:space="preserve">Radisson Blu, Media City</t>
  </si>
  <si>
    <t xml:space="preserve">+971 4 366 9111</t>
  </si>
  <si>
    <t xml:space="preserve">Food Party</t>
  </si>
  <si>
    <t xml:space="preserve">Reef Mall, Deira</t>
  </si>
  <si>
    <t xml:space="preserve">+971 50 873 8707</t>
  </si>
  <si>
    <t xml:space="preserve">Village Hangout Cafe JVC</t>
  </si>
  <si>
    <t xml:space="preserve">Reef Residence, JVC</t>
  </si>
  <si>
    <t xml:space="preserve">+971 56 650 6045</t>
  </si>
  <si>
    <t xml:space="preserve">Pickl Motor City</t>
  </si>
  <si>
    <t xml:space="preserve">Ribbon Mall, Motor City</t>
  </si>
  <si>
    <t xml:space="preserve">+971 4 568 6882</t>
  </si>
  <si>
    <t xml:space="preserve">Jazeel Restaurant</t>
  </si>
  <si>
    <t xml:space="preserve">Semmer Villas, Silicon Oasis</t>
  </si>
  <si>
    <t xml:space="preserve">+971 4 323 2797</t>
  </si>
  <si>
    <t xml:space="preserve">Friends Avenue Cafe Silicon Oasis</t>
  </si>
  <si>
    <t xml:space="preserve">Silicon Central Mall</t>
  </si>
  <si>
    <t xml:space="preserve">+971 4 529 9118</t>
  </si>
  <si>
    <t xml:space="preserve">Silicon Central Food Court</t>
  </si>
  <si>
    <t xml:space="preserve">Gulshan Cafeteria</t>
  </si>
  <si>
    <t xml:space="preserve">Sonapur, Muhaisnah 2</t>
  </si>
  <si>
    <t xml:space="preserve">The Tap House Downtown</t>
  </si>
  <si>
    <t xml:space="preserve">Souk Al Bahar, Downtown</t>
  </si>
  <si>
    <t xml:space="preserve">+971 4 425 0009</t>
  </si>
  <si>
    <t xml:space="preserve">Shoo Loong Kan Hot Pot</t>
  </si>
  <si>
    <t xml:space="preserve">Souk Warsan, International City</t>
  </si>
  <si>
    <t xml:space="preserve">+971 55 676 8888</t>
  </si>
  <si>
    <t xml:space="preserve">TABU Dubai</t>
  </si>
  <si>
    <t xml:space="preserve">St Regis, Business Bay</t>
  </si>
  <si>
    <t xml:space="preserve">+971 4 512 5555</t>
  </si>
  <si>
    <t xml:space="preserve">Boston Lane</t>
  </si>
  <si>
    <t xml:space="preserve">The Courtyard, Al Quoz 1</t>
  </si>
  <si>
    <t xml:space="preserve">+971 50 627 4799</t>
  </si>
  <si>
    <t xml:space="preserve">Cassette</t>
  </si>
  <si>
    <t xml:space="preserve">+971 4 349 1966</t>
  </si>
  <si>
    <t xml:space="preserve">Rang Dubai Mall</t>
  </si>
  <si>
    <t xml:space="preserve">The Dubai Mall</t>
  </si>
  <si>
    <t xml:space="preserve">+971 50 800 1574</t>
  </si>
  <si>
    <t xml:space="preserve">Social House</t>
  </si>
  <si>
    <t xml:space="preserve">+971 52 972 5541</t>
  </si>
  <si>
    <t xml:space="preserve">The Blacksmith Bar &amp; Eatery</t>
  </si>
  <si>
    <t xml:space="preserve">The First Collection, Business Bay</t>
  </si>
  <si>
    <t xml:space="preserve">+971 4 873 4433</t>
  </si>
  <si>
    <t xml:space="preserve">Sante Ria</t>
  </si>
  <si>
    <t xml:space="preserve">The First Collection, JVC</t>
  </si>
  <si>
    <t xml:space="preserve">+971 4 275 6630</t>
  </si>
  <si>
    <t xml:space="preserve">Village Bistro</t>
  </si>
  <si>
    <t xml:space="preserve">+971 4 275 6621</t>
  </si>
  <si>
    <t xml:space="preserve">Saarangaa Bhojan Shala</t>
  </si>
  <si>
    <t xml:space="preserve">The Gardens / Discovery Gardens</t>
  </si>
  <si>
    <t xml:space="preserve">+971 4 425 5700</t>
  </si>
  <si>
    <t xml:space="preserve">CoCoParis Dubai Jumeirah</t>
  </si>
  <si>
    <t xml:space="preserve">The Mall, Umm Suqeim 3</t>
  </si>
  <si>
    <t xml:space="preserve">+971 4 584 1188</t>
  </si>
  <si>
    <t xml:space="preserve">Carluccio's Arabian Ranches 2</t>
  </si>
  <si>
    <t xml:space="preserve">The Ranches Souk</t>
  </si>
  <si>
    <t xml:space="preserve">+971 54 996 3798</t>
  </si>
  <si>
    <t xml:space="preserve">Benny Mack's by Bens Farmhouse</t>
  </si>
  <si>
    <t xml:space="preserve">Town Square</t>
  </si>
  <si>
    <t xml:space="preserve">+971 4 572 0893</t>
  </si>
  <si>
    <t xml:space="preserve">Buffalo Wings &amp; Rings Town Square</t>
  </si>
  <si>
    <t xml:space="preserve">+971 4 252 2753</t>
  </si>
  <si>
    <t xml:space="preserve">Great Food Restaurant Town Square</t>
  </si>
  <si>
    <t xml:space="preserve">+971 4 887 9551</t>
  </si>
  <si>
    <t xml:space="preserve">SKM'D Town Square</t>
  </si>
  <si>
    <t xml:space="preserve">+971 4 327 7939</t>
  </si>
  <si>
    <t xml:space="preserve">Slate Kitchen &amp; Cafe</t>
  </si>
  <si>
    <t xml:space="preserve">+971 4 546 7388</t>
  </si>
  <si>
    <t xml:space="preserve">The Good Hood Kitchen</t>
  </si>
  <si>
    <t xml:space="preserve">+971 56 484 2836</t>
  </si>
  <si>
    <t xml:space="preserve">Indian Oven Town Square</t>
  </si>
  <si>
    <t xml:space="preserve">Town Square Nshama</t>
  </si>
  <si>
    <t xml:space="preserve">+971 55 857 0111</t>
  </si>
  <si>
    <t xml:space="preserve">Warsan Mandi Restaurant Jumeirah</t>
  </si>
  <si>
    <t xml:space="preserve">Umm Suqeim 1</t>
  </si>
  <si>
    <t xml:space="preserve">+971 56 434 4225</t>
  </si>
  <si>
    <t xml:space="preserve">Seaview Restaurant</t>
  </si>
  <si>
    <t xml:space="preserve">Umm Suqeim 1 Fishing Harbour</t>
  </si>
  <si>
    <t xml:space="preserve">+971 4 333 5552</t>
  </si>
  <si>
    <t xml:space="preserve">Belly Bump Restaurant</t>
  </si>
  <si>
    <t xml:space="preserve">Umm Suqeim 2</t>
  </si>
  <si>
    <t xml:space="preserve">+971 55 681 6919</t>
  </si>
  <si>
    <t xml:space="preserve">Polline Restaurant</t>
  </si>
  <si>
    <t xml:space="preserve">Umm Suqeim 3</t>
  </si>
  <si>
    <t xml:space="preserve">+971 4 328 8930</t>
  </si>
  <si>
    <t xml:space="preserve">Sardina Seafood Restaurant</t>
  </si>
  <si>
    <t xml:space="preserve">+971 4 339 0444</t>
  </si>
  <si>
    <t xml:space="preserve">Logs and Embers</t>
  </si>
  <si>
    <t xml:space="preserve">Vista Mare, Palm Jumeirah</t>
  </si>
  <si>
    <t xml:space="preserve">+971 52 109 6802</t>
  </si>
  <si>
    <t xml:space="preserve">Grill Town Restaurant</t>
  </si>
  <si>
    <t xml:space="preserve">Warsan, International City</t>
  </si>
  <si>
    <t xml:space="preserve">+971 58 890 4499</t>
  </si>
  <si>
    <t xml:space="preserve">Wood House Restaurant Al Ain</t>
  </si>
  <si>
    <t xml:space="preserve">Al Ain Mall, Al Kuwaitat</t>
  </si>
  <si>
    <t xml:space="preserve">+971 50 967 4862</t>
  </si>
  <si>
    <t xml:space="preserve">La Marm'Eat</t>
  </si>
  <si>
    <t xml:space="preserve">Al Bateen Corniche</t>
  </si>
  <si>
    <t xml:space="preserve">+971 50 812 3073</t>
  </si>
  <si>
    <t xml:space="preserve">Student Biryani Corniche</t>
  </si>
  <si>
    <t xml:space="preserve">Al Bateen, Corniche</t>
  </si>
  <si>
    <t xml:space="preserve">+971 56 544 5897</t>
  </si>
  <si>
    <t xml:space="preserve">My Tea Cafeteria</t>
  </si>
  <si>
    <t xml:space="preserve">Al Danah</t>
  </si>
  <si>
    <t xml:space="preserve">+971 2 621 9989</t>
  </si>
  <si>
    <t xml:space="preserve">Parker's Al Jimi</t>
  </si>
  <si>
    <t xml:space="preserve">Al Jimi Mall, Al Ain</t>
  </si>
  <si>
    <t xml:space="preserve">Table Otto Al Jimi Mall</t>
  </si>
  <si>
    <t xml:space="preserve">+971 3 766 2386</t>
  </si>
  <si>
    <t xml:space="preserve">Al Fanar Restaurant &amp; Cafe Al Jimi</t>
  </si>
  <si>
    <t xml:space="preserve">Al Jimi, Al Ain</t>
  </si>
  <si>
    <t xml:space="preserve">+971 3 766 5200</t>
  </si>
  <si>
    <t xml:space="preserve">Al Farah Restaurant</t>
  </si>
  <si>
    <t xml:space="preserve">Al Khalidiyah</t>
  </si>
  <si>
    <t xml:space="preserve">+971 600 570000</t>
  </si>
  <si>
    <t xml:space="preserve">BBC Restaurant Khalidiya</t>
  </si>
  <si>
    <t xml:space="preserve">+971 54 422 8313</t>
  </si>
  <si>
    <t xml:space="preserve">Kinsu Japanese Restaurant Al Khalidiya</t>
  </si>
  <si>
    <t xml:space="preserve">+971 50 563 8213</t>
  </si>
  <si>
    <t xml:space="preserve">Koshari Tom and Basal</t>
  </si>
  <si>
    <t xml:space="preserve">+971 2 877 8702</t>
  </si>
  <si>
    <t xml:space="preserve">Oh My Grill</t>
  </si>
  <si>
    <t xml:space="preserve">+971 50 220 2304</t>
  </si>
  <si>
    <t xml:space="preserve">Otantik Cafe &amp; Restaurant Al Khalidiyah</t>
  </si>
  <si>
    <t xml:space="preserve">+971 2 546 8583</t>
  </si>
  <si>
    <t xml:space="preserve">Royal Bannugul Restaurant</t>
  </si>
  <si>
    <t xml:space="preserve">+971 50 667 0989</t>
  </si>
  <si>
    <t xml:space="preserve">Somewhere Al Ain</t>
  </si>
  <si>
    <t xml:space="preserve">Al Mu'tarid, Al Ain</t>
  </si>
  <si>
    <t xml:space="preserve">Rahmath Calicut Restaurant Hamdan</t>
  </si>
  <si>
    <t xml:space="preserve">Al Zahiyah / Hamdan St</t>
  </si>
  <si>
    <t xml:space="preserve">+971 50 741 8656</t>
  </si>
  <si>
    <t xml:space="preserve">Diet Spot Restaurant</t>
  </si>
  <si>
    <t xml:space="preserve">Baniyas East</t>
  </si>
  <si>
    <t xml:space="preserve">+971 55 633 6519</t>
  </si>
  <si>
    <t xml:space="preserve">Food Junction Baniyas</t>
  </si>
  <si>
    <t xml:space="preserve">+971 2 550 4077</t>
  </si>
  <si>
    <t xml:space="preserve">Koukh Al Shay Baniyas</t>
  </si>
  <si>
    <t xml:space="preserve">+971 50 515 9373</t>
  </si>
  <si>
    <t xml:space="preserve">Shabab Baniyas Cafeteria</t>
  </si>
  <si>
    <t xml:space="preserve">+971 2 583 5644</t>
  </si>
  <si>
    <t xml:space="preserve">Shabab Baniyas Cafe Branch</t>
  </si>
  <si>
    <t xml:space="preserve">Baniyas EB1</t>
  </si>
  <si>
    <t xml:space="preserve">+971 2 582 5547</t>
  </si>
  <si>
    <t xml:space="preserve">Wahat Al Raai Restaurant</t>
  </si>
  <si>
    <t xml:space="preserve">Baniyas EB11</t>
  </si>
  <si>
    <t xml:space="preserve">+971 2 583 1080</t>
  </si>
  <si>
    <t xml:space="preserve">Eidan Mandi Baniyas</t>
  </si>
  <si>
    <t xml:space="preserve">Baniyas EB5</t>
  </si>
  <si>
    <t xml:space="preserve">+971 2 222 2321</t>
  </si>
  <si>
    <t xml:space="preserve">Tea Junction Baniyas</t>
  </si>
  <si>
    <t xml:space="preserve">Baniyas West</t>
  </si>
  <si>
    <t xml:space="preserve">+971 50 143 1357</t>
  </si>
  <si>
    <t xml:space="preserve">Zaatar w Zeit Abu Dhabi Corniche</t>
  </si>
  <si>
    <t xml:space="preserve">Corniche Road West</t>
  </si>
  <si>
    <t xml:space="preserve">+971 600 522231</t>
  </si>
  <si>
    <t xml:space="preserve">Derwandi</t>
  </si>
  <si>
    <t xml:space="preserve">Corniche Road, Al Bateen</t>
  </si>
  <si>
    <t xml:space="preserve">+971 58 853 9633</t>
  </si>
  <si>
    <t xml:space="preserve">Patron Meat House</t>
  </si>
  <si>
    <t xml:space="preserve">Corniche, Al Bateen</t>
  </si>
  <si>
    <t xml:space="preserve">+971 2 633 0022</t>
  </si>
  <si>
    <t xml:space="preserve">ALMA</t>
  </si>
  <si>
    <t xml:space="preserve">Emirates Palace, West Corniche</t>
  </si>
  <si>
    <t xml:space="preserve">+971 2 690 7999</t>
  </si>
  <si>
    <t xml:space="preserve">Bait El Khetyar Hamdan</t>
  </si>
  <si>
    <t xml:space="preserve">Hamdan Street, Al Danah</t>
  </si>
  <si>
    <t xml:space="preserve">+971 2 449 9916</t>
  </si>
  <si>
    <t xml:space="preserve">Crave Street Cafe</t>
  </si>
  <si>
    <t xml:space="preserve">+971 50 925 8021</t>
  </si>
  <si>
    <t xml:space="preserve">E Duniyav Restaurant Hamdan</t>
  </si>
  <si>
    <t xml:space="preserve">+971 2 444 2466</t>
  </si>
  <si>
    <t xml:space="preserve">Emirates Lassi Cafe</t>
  </si>
  <si>
    <t xml:space="preserve">+971 2 444 4251</t>
  </si>
  <si>
    <t xml:space="preserve">Mancha Hamdan</t>
  </si>
  <si>
    <t xml:space="preserve">+971 2 517 5180</t>
  </si>
  <si>
    <t xml:space="preserve">New Punjab Restaurant Hamdan</t>
  </si>
  <si>
    <t xml:space="preserve">+971 2 626 7860</t>
  </si>
  <si>
    <t xml:space="preserve">Chagh Kabab Khalidiyah Mall</t>
  </si>
  <si>
    <t xml:space="preserve">Khalidiyah Mall</t>
  </si>
  <si>
    <t xml:space="preserve">+971 2 626 2568</t>
  </si>
  <si>
    <t xml:space="preserve">BBC Restaurant Khalifa City</t>
  </si>
  <si>
    <t xml:space="preserve">Khalifa City</t>
  </si>
  <si>
    <t xml:space="preserve">+971 2 446 7313</t>
  </si>
  <si>
    <t xml:space="preserve">Bella Vita Restaurant by Labelle</t>
  </si>
  <si>
    <t xml:space="preserve">+971 52 910 7272</t>
  </si>
  <si>
    <t xml:space="preserve">Bu Tafish Khalifa City</t>
  </si>
  <si>
    <t xml:space="preserve">+971 2 556 5477</t>
  </si>
  <si>
    <t xml:space="preserve">Salar Restaurant Khalifa City</t>
  </si>
  <si>
    <t xml:space="preserve">+971 2 557 1445</t>
  </si>
  <si>
    <t xml:space="preserve">Sushi Library Forsan Central Mall</t>
  </si>
  <si>
    <t xml:space="preserve">+971 54 793 2360</t>
  </si>
  <si>
    <t xml:space="preserve">Swaikhat Restaurant</t>
  </si>
  <si>
    <t xml:space="preserve">+971 2 556 2940</t>
  </si>
  <si>
    <t xml:space="preserve">Vietnamese Pho Khalifa City</t>
  </si>
  <si>
    <t xml:space="preserve">+971 58 206 5559</t>
  </si>
  <si>
    <t xml:space="preserve">Al Marsa Al Shaabi Restaurant</t>
  </si>
  <si>
    <t xml:space="preserve">Khalifa City A</t>
  </si>
  <si>
    <t xml:space="preserve">+971 2 558 5538</t>
  </si>
  <si>
    <t xml:space="preserve">Catania Lounge</t>
  </si>
  <si>
    <t xml:space="preserve">Leaf Tower, Al Reem Island</t>
  </si>
  <si>
    <t xml:space="preserve">+971 50 222 3646</t>
  </si>
  <si>
    <t xml:space="preserve">The Brothers Restaurant &amp; Cafe</t>
  </si>
  <si>
    <t xml:space="preserve">+971 58 571 0090</t>
  </si>
  <si>
    <t xml:space="preserve">tashas Al Ain</t>
  </si>
  <si>
    <t xml:space="preserve">Lifestyle Center, Al Ain</t>
  </si>
  <si>
    <t xml:space="preserve">+971 2 517 6944</t>
  </si>
  <si>
    <t xml:space="preserve">Il Forno Mall of Al Ain</t>
  </si>
  <si>
    <t xml:space="preserve">Mall of Al Ain</t>
  </si>
  <si>
    <t xml:space="preserve">+971 3 761 5317</t>
  </si>
  <si>
    <t xml:space="preserve">Raa Noodles Abu Dhabi</t>
  </si>
  <si>
    <t xml:space="preserve">MBZ City Zone 20</t>
  </si>
  <si>
    <t xml:space="preserve">+971 56 673 9524</t>
  </si>
  <si>
    <t xml:space="preserve">Panini Di Casa MBZ City</t>
  </si>
  <si>
    <t xml:space="preserve">Mohamed Bin Zayed City</t>
  </si>
  <si>
    <t xml:space="preserve">+971 50 373 7036</t>
  </si>
  <si>
    <t xml:space="preserve">NoosheJaan Grills and Kebabs</t>
  </si>
  <si>
    <t xml:space="preserve">Mohamed Bin Zayed City ME10</t>
  </si>
  <si>
    <t xml:space="preserve">+971 52 578 1285</t>
  </si>
  <si>
    <t xml:space="preserve">Payyannur Seafood Restaurant</t>
  </si>
  <si>
    <t xml:space="preserve">+971 2 633 9313</t>
  </si>
  <si>
    <t xml:space="preserve">Tasty Cafeteria</t>
  </si>
  <si>
    <t xml:space="preserve">Mohamed Bin Zayed City ME11</t>
  </si>
  <si>
    <t xml:space="preserve">+971 2 555 5790</t>
  </si>
  <si>
    <t xml:space="preserve">Talal Restaurant MBZ City</t>
  </si>
  <si>
    <t xml:space="preserve">Mohamed Bin Zayed City ME12</t>
  </si>
  <si>
    <t xml:space="preserve">+971 56 688 9254</t>
  </si>
  <si>
    <t xml:space="preserve">House of Tea Cafeteria</t>
  </si>
  <si>
    <t xml:space="preserve">Mohamed Bin Zayed City ME9</t>
  </si>
  <si>
    <t xml:space="preserve">+971 2 554 0855</t>
  </si>
  <si>
    <t xml:space="preserve">Sugar And Salt MBZ</t>
  </si>
  <si>
    <t xml:space="preserve">Mohamed Bin Zayed City Z1</t>
  </si>
  <si>
    <t xml:space="preserve">+971 54 289 8296</t>
  </si>
  <si>
    <t xml:space="preserve">Pizza Street MBZ</t>
  </si>
  <si>
    <t xml:space="preserve">Mohamed Bin Zayed City Z4</t>
  </si>
  <si>
    <t xml:space="preserve">SALT MBZ</t>
  </si>
  <si>
    <t xml:space="preserve">Good Burger Cafeteria and Restaurant</t>
  </si>
  <si>
    <t xml:space="preserve">Mussafah 10</t>
  </si>
  <si>
    <t xml:space="preserve">+971 2 585 4786</t>
  </si>
  <si>
    <t xml:space="preserve">Bannu Gul Beef Pulao Restaurant Br.1</t>
  </si>
  <si>
    <t xml:space="preserve">Mussafah 17</t>
  </si>
  <si>
    <t xml:space="preserve">+971 2 582 8897</t>
  </si>
  <si>
    <t xml:space="preserve">Gulistan Restaurant Musaffah 37</t>
  </si>
  <si>
    <t xml:space="preserve">Mussafah 37</t>
  </si>
  <si>
    <t xml:space="preserve">+971 50 948 0203</t>
  </si>
  <si>
    <t xml:space="preserve">BBC Restaurant M45</t>
  </si>
  <si>
    <t xml:space="preserve">Mussafah 45</t>
  </si>
  <si>
    <t xml:space="preserve">+971 54 252 1313</t>
  </si>
  <si>
    <t xml:space="preserve">Control Kitchen &amp; Restaurant</t>
  </si>
  <si>
    <t xml:space="preserve">Mussafah 9</t>
  </si>
  <si>
    <t xml:space="preserve">+971 54 532 9007</t>
  </si>
  <si>
    <t xml:space="preserve">Paris Cafe Mussafah Shabia</t>
  </si>
  <si>
    <t xml:space="preserve">Mussafah Shabia ME9</t>
  </si>
  <si>
    <t xml:space="preserve">+971 2 554 7700</t>
  </si>
  <si>
    <t xml:space="preserve">Firefly Burger Reem Island</t>
  </si>
  <si>
    <t xml:space="preserve">Paragon Mall, Al Reem Island</t>
  </si>
  <si>
    <t xml:space="preserve">+971 2 641 6799</t>
  </si>
  <si>
    <t xml:space="preserve">Aishazza Restaurant</t>
  </si>
  <si>
    <t xml:space="preserve">Reem Mall, Al Reem Island</t>
  </si>
  <si>
    <t xml:space="preserve">+971 2 643 4901</t>
  </si>
  <si>
    <t xml:space="preserve">Eataly Reem Mall</t>
  </si>
  <si>
    <t xml:space="preserve">+971 2 691 0581</t>
  </si>
  <si>
    <t xml:space="preserve">Fanzone by McGettigan's</t>
  </si>
  <si>
    <t xml:space="preserve">+971 50 816 2985</t>
  </si>
  <si>
    <t xml:space="preserve">Pho Ha Noi Reem Mall</t>
  </si>
  <si>
    <t xml:space="preserve">+971 56 540 6919</t>
  </si>
  <si>
    <t xml:space="preserve">Santorini Cafe</t>
  </si>
  <si>
    <t xml:space="preserve">Shams Abu Dhabi, Al Reem Island</t>
  </si>
  <si>
    <t xml:space="preserve">+971 50 887 3030</t>
  </si>
  <si>
    <t xml:space="preserve">The Terrace on the Corniche</t>
  </si>
  <si>
    <t xml:space="preserve">St Regis, Corniche</t>
  </si>
  <si>
    <t xml:space="preserve">+971 2 694 4553</t>
  </si>
  <si>
    <t xml:space="preserve">Leisure Center Al Ain</t>
  </si>
  <si>
    <t xml:space="preserve">Town Centre, Al Ain</t>
  </si>
  <si>
    <t xml:space="preserve">+971 3 766 1116</t>
  </si>
  <si>
    <t xml:space="preserve">Em Sherif Cafe Abu Dhabi</t>
  </si>
  <si>
    <t xml:space="preserve">West Corniche, Al Bateen</t>
  </si>
  <si>
    <t xml:space="preserve">+971 2 691 9999</t>
  </si>
  <si>
    <t xml:space="preserve">Asia Asia Abu Dhabi</t>
  </si>
  <si>
    <t xml:space="preserve">Yas Bay Waterfront</t>
  </si>
  <si>
    <t xml:space="preserve">+971 4 423 8302</t>
  </si>
  <si>
    <t xml:space="preserve">Hunter &amp; Barrel Yas Bay</t>
  </si>
  <si>
    <t xml:space="preserve">+971 2 886 8299</t>
  </si>
  <si>
    <t xml:space="preserve">Siddharta Lounge by Buddha-Bar</t>
  </si>
  <si>
    <t xml:space="preserve">+971 50 601 1194</t>
  </si>
  <si>
    <t xml:space="preserve">The Lighthouse Restaurant &amp; Bar</t>
  </si>
  <si>
    <t xml:space="preserve">+971 2 236 7831</t>
  </si>
  <si>
    <t xml:space="preserve">Al Fanar Restaurant &amp; Cafe Yas Mall</t>
  </si>
  <si>
    <t xml:space="preserve">Yas Mall, Yas Island</t>
  </si>
  <si>
    <t xml:space="preserve">+971 2 877 2272</t>
  </si>
  <si>
    <t xml:space="preserve">Somewhere Yas Mall</t>
  </si>
  <si>
    <t xml:space="preserve">Ishtar Yas Marina</t>
  </si>
  <si>
    <t xml:space="preserve">Yas Marina</t>
  </si>
  <si>
    <t xml:space="preserve">+971 50 402 2293</t>
  </si>
  <si>
    <t xml:space="preserve">Mika Yas Marina</t>
  </si>
  <si>
    <t xml:space="preserve">+971 56 433 1422</t>
  </si>
  <si>
    <t xml:space="preserve">Al Sadah Cafeteria</t>
  </si>
  <si>
    <t xml:space="preserve">Al Ghuwair, Rolla</t>
  </si>
  <si>
    <t xml:space="preserve">+971 50 334 3068</t>
  </si>
  <si>
    <t xml:space="preserve">Chicken Spot Cafeteria</t>
  </si>
  <si>
    <t xml:space="preserve">+971 6 551 1440</t>
  </si>
  <si>
    <t xml:space="preserve">Nobel Cafeteria</t>
  </si>
  <si>
    <t xml:space="preserve">+971 6 561 5557</t>
  </si>
  <si>
    <t xml:space="preserve">India Palace Zero 6 Mall</t>
  </si>
  <si>
    <t xml:space="preserve">Al Juraina</t>
  </si>
  <si>
    <t xml:space="preserve">+971 6 535 5740</t>
  </si>
  <si>
    <t xml:space="preserve">Aklat Anosh Restaurant</t>
  </si>
  <si>
    <t xml:space="preserve">Al Khan</t>
  </si>
  <si>
    <t xml:space="preserve">+971 6 525 2400</t>
  </si>
  <si>
    <t xml:space="preserve">Dar Ward Restaurant</t>
  </si>
  <si>
    <t xml:space="preserve">+971 6 522 2411</t>
  </si>
  <si>
    <t xml:space="preserve">Araab Alsham Restaurant</t>
  </si>
  <si>
    <t xml:space="preserve">Al Khan / Al Taawun</t>
  </si>
  <si>
    <t xml:space="preserve">+971 50 304 6655</t>
  </si>
  <si>
    <t xml:space="preserve">Taj Al Rolla Cafeteria</t>
  </si>
  <si>
    <t xml:space="preserve">Al Mahatta, Rolla</t>
  </si>
  <si>
    <t xml:space="preserve">+971 6 530 0439</t>
  </si>
  <si>
    <t xml:space="preserve">Taj Al Majaz Restaurant</t>
  </si>
  <si>
    <t xml:space="preserve">Al Majaz</t>
  </si>
  <si>
    <t xml:space="preserve">+971 58 133 0793</t>
  </si>
  <si>
    <t xml:space="preserve">Buffalo Wild Wings GO</t>
  </si>
  <si>
    <t xml:space="preserve">Al Majaz 1</t>
  </si>
  <si>
    <t xml:space="preserve">Red Apple Corner Restaurant</t>
  </si>
  <si>
    <t xml:space="preserve">+971 54 553 1463</t>
  </si>
  <si>
    <t xml:space="preserve">Caesars Restaurant</t>
  </si>
  <si>
    <t xml:space="preserve">Al Majaz 2</t>
  </si>
  <si>
    <t xml:space="preserve">+971 6 577 6009</t>
  </si>
  <si>
    <t xml:space="preserve">Grill City Restaurant</t>
  </si>
  <si>
    <t xml:space="preserve">+971 52 811 1629</t>
  </si>
  <si>
    <t xml:space="preserve">Sultan Al Arab Restaurant Al Majaz</t>
  </si>
  <si>
    <t xml:space="preserve">+971 50 212 0164</t>
  </si>
  <si>
    <t xml:space="preserve">Spice Grill Seafood Restaurant</t>
  </si>
  <si>
    <t xml:space="preserve">Al Majaz Waterfront</t>
  </si>
  <si>
    <t xml:space="preserve">+971 6 764 8167</t>
  </si>
  <si>
    <t xml:space="preserve">Olive Hut Restaurant</t>
  </si>
  <si>
    <t xml:space="preserve">Al Mamzar / Al Taawun</t>
  </si>
  <si>
    <t xml:space="preserve">+971 52 123 5078</t>
  </si>
  <si>
    <t xml:space="preserve">Laffah Restaurant</t>
  </si>
  <si>
    <t xml:space="preserve">Al Mamzar, Al Taawun</t>
  </si>
  <si>
    <t xml:space="preserve">+971 6 554 6161</t>
  </si>
  <si>
    <t xml:space="preserve">Al Mawadah Cafeteria</t>
  </si>
  <si>
    <t xml:space="preserve">Al Nahda</t>
  </si>
  <si>
    <t xml:space="preserve">+971 6 531 5564</t>
  </si>
  <si>
    <t xml:space="preserve">Best Cafe Al Nahda</t>
  </si>
  <si>
    <t xml:space="preserve">+971 52 226 6893</t>
  </si>
  <si>
    <t xml:space="preserve">Dar Al Nahda Cafeteria</t>
  </si>
  <si>
    <t xml:space="preserve">+971 6 536 8563</t>
  </si>
  <si>
    <t xml:space="preserve">Dream Tea Cafeteria</t>
  </si>
  <si>
    <t xml:space="preserve">+971 6 525 1132</t>
  </si>
  <si>
    <t xml:space="preserve">Grill Zone Cafeteria</t>
  </si>
  <si>
    <t xml:space="preserve">+971 52 350 5211</t>
  </si>
  <si>
    <t xml:space="preserve">HOOT Al Nahda Cafeteria</t>
  </si>
  <si>
    <t xml:space="preserve">+971 52 254 4829</t>
  </si>
  <si>
    <t xml:space="preserve">Katea Cafe Sharjah</t>
  </si>
  <si>
    <t xml:space="preserve">+971 56 420 1646</t>
  </si>
  <si>
    <t xml:space="preserve">Kodiyal Restaurant Sharjah</t>
  </si>
  <si>
    <t xml:space="preserve">+971 58 859 1212</t>
  </si>
  <si>
    <t xml:space="preserve">Rice Village Cafeteria</t>
  </si>
  <si>
    <t xml:space="preserve">+971 56 781 0547</t>
  </si>
  <si>
    <t xml:space="preserve">Cross Point Cafeteria</t>
  </si>
  <si>
    <t xml:space="preserve">Al Shuwaiheen / Rolla</t>
  </si>
  <si>
    <t xml:space="preserve">+971 6 715 6873</t>
  </si>
  <si>
    <t xml:space="preserve">Bawabat Al Rolla Cafeteria</t>
  </si>
  <si>
    <t xml:space="preserve">Al Shuwaiheen, Rolla</t>
  </si>
  <si>
    <t xml:space="preserve">+971 56 319 2497</t>
  </si>
  <si>
    <t xml:space="preserve">Dyar Al Sham Restaurant &amp; Sweet</t>
  </si>
  <si>
    <t xml:space="preserve">Al Taawun, Al Khan</t>
  </si>
  <si>
    <t xml:space="preserve">+971 6 525 7755</t>
  </si>
  <si>
    <t xml:space="preserve">TBK Al Jada</t>
  </si>
  <si>
    <t xml:space="preserve">Aljada, Muwaileh</t>
  </si>
  <si>
    <t xml:space="preserve">+971 50 755 1363</t>
  </si>
  <si>
    <t xml:space="preserve">Majdolin Restaurant</t>
  </si>
  <si>
    <t xml:space="preserve">DoubleTree, Al Majaz 2</t>
  </si>
  <si>
    <t xml:space="preserve">+971 54 999 3056</t>
  </si>
  <si>
    <t xml:space="preserve">Calicut Stories Restaurant Sharjah</t>
  </si>
  <si>
    <t xml:space="preserve">Muwaileh Commercial</t>
  </si>
  <si>
    <t xml:space="preserve">+971 6 561 4481</t>
  </si>
  <si>
    <t xml:space="preserve">Chef Salman Restaurant Sharjah</t>
  </si>
  <si>
    <t xml:space="preserve">+971 58 146 7272</t>
  </si>
  <si>
    <t xml:space="preserve">De Fish Seafood Restaurant Sharjah</t>
  </si>
  <si>
    <t xml:space="preserve">+971 56 276 9898</t>
  </si>
  <si>
    <t xml:space="preserve">Reef Muwaileh Restaurant</t>
  </si>
  <si>
    <t xml:space="preserve">+971 52 396 9624</t>
  </si>
  <si>
    <t xml:space="preserve">Spicy Cafe Mandi &amp; Grill Sharjah</t>
  </si>
  <si>
    <t xml:space="preserve">+971 50 746 9851</t>
  </si>
  <si>
    <t xml:space="preserve">Wok N Grill Restaurant Sharjah</t>
  </si>
  <si>
    <t xml:space="preserve">+971 6 707 3199</t>
  </si>
  <si>
    <t xml:space="preserve">Al Khan Restaurant</t>
  </si>
  <si>
    <t xml:space="preserve">Pullman Sharjah, Al Khan</t>
  </si>
  <si>
    <t xml:space="preserve">+971 6 591 0000</t>
  </si>
  <si>
    <t xml:space="preserve">Masakn Cafe Al Ghuwair</t>
  </si>
  <si>
    <t xml:space="preserve">Rolla</t>
  </si>
  <si>
    <t xml:space="preserve">+971 50 859 6800</t>
  </si>
  <si>
    <t xml:space="preserve">Tareeq Al Rolla Cafeteria</t>
  </si>
  <si>
    <t xml:space="preserve">Um Altarafa, Rolla</t>
  </si>
  <si>
    <t xml:space="preserve">+971 55 627 5103</t>
  </si>
  <si>
    <t xml:space="preserve">Habak Al Sham Restaurant &amp; Cafe</t>
  </si>
  <si>
    <t xml:space="preserve">Ajman Corniche</t>
  </si>
  <si>
    <t xml:space="preserve">+971 6 744 1020</t>
  </si>
  <si>
    <t xml:space="preserve">Themar Al Bahar Restaurant</t>
  </si>
  <si>
    <t xml:space="preserve">Ajman Corniche, Al Rumailah</t>
  </si>
  <si>
    <t xml:space="preserve">+971 6 741 0774</t>
  </si>
  <si>
    <t xml:space="preserve">Lanoisette Restaurant &amp; Cafe Ajman</t>
  </si>
  <si>
    <t xml:space="preserve">Ajman Corniche, Al Rumailah 2</t>
  </si>
  <si>
    <t xml:space="preserve">+971 56 350 1501</t>
  </si>
  <si>
    <t xml:space="preserve">The Grove Restaurant</t>
  </si>
  <si>
    <t xml:space="preserve">Al Jerf 1</t>
  </si>
  <si>
    <t xml:space="preserve">+971 58 831 7543</t>
  </si>
  <si>
    <t xml:space="preserve">Souryana Restaurant and Cafe</t>
  </si>
  <si>
    <t xml:space="preserve">Al Nakhil 2</t>
  </si>
  <si>
    <t xml:space="preserve">+971 6 575 9567</t>
  </si>
  <si>
    <t xml:space="preserve">Sultan Saray Restaurant</t>
  </si>
  <si>
    <t xml:space="preserve">+971 6 740 5040</t>
  </si>
  <si>
    <t xml:space="preserve">Themar Al Bahar (Al Nakhil)</t>
  </si>
  <si>
    <t xml:space="preserve">Al Nakhil 2, Ajman Corniche</t>
  </si>
  <si>
    <t xml:space="preserve">+971 6 747 0550</t>
  </si>
  <si>
    <t xml:space="preserve">Seascape Restaurant Ajman</t>
  </si>
  <si>
    <t xml:space="preserve">Al Nakhil, Ajman Corniche</t>
  </si>
  <si>
    <t xml:space="preserve">+971 6 701 4444</t>
  </si>
  <si>
    <t xml:space="preserve">Alhan Cafe</t>
  </si>
  <si>
    <t xml:space="preserve">Al Nuaimia 1</t>
  </si>
  <si>
    <t xml:space="preserve">+971 56 355 0712</t>
  </si>
  <si>
    <t xml:space="preserve">Casa Restaurant &amp; Cafe</t>
  </si>
  <si>
    <t xml:space="preserve">+971 58 108 2544</t>
  </si>
  <si>
    <t xml:space="preserve">Food Hub Restaurant &amp; Cafeteria</t>
  </si>
  <si>
    <t xml:space="preserve">+971 55 534 6085</t>
  </si>
  <si>
    <t xml:space="preserve">Miznas Wahad Cafeteria</t>
  </si>
  <si>
    <t xml:space="preserve">+971 58 809 2233</t>
  </si>
  <si>
    <t xml:space="preserve">My Sea Side Cafeteria</t>
  </si>
  <si>
    <t xml:space="preserve">+971 52 313 4513</t>
  </si>
  <si>
    <t xml:space="preserve">Talal Cafeteria</t>
  </si>
  <si>
    <t xml:space="preserve">+971 54 402 3005</t>
  </si>
  <si>
    <t xml:space="preserve">White Fort Cafe</t>
  </si>
  <si>
    <t xml:space="preserve">+971 50 389 2101</t>
  </si>
  <si>
    <t xml:space="preserve">Zora Cafeteria</t>
  </si>
  <si>
    <t xml:space="preserve">+971 6 731 4142</t>
  </si>
  <si>
    <t xml:space="preserve">Eat and Drink Restaurant</t>
  </si>
  <si>
    <t xml:space="preserve">Al Araibi, RAK</t>
  </si>
  <si>
    <t xml:space="preserve">+971 7 244 4764</t>
  </si>
  <si>
    <t xml:space="preserve">Top Uptown Restaurant</t>
  </si>
  <si>
    <t xml:space="preserve">Al Naeem Mall, Al Nakheel</t>
  </si>
  <si>
    <t xml:space="preserve">+971 7 221 0818</t>
  </si>
  <si>
    <t xml:space="preserve">Estacoza Seafood Restaurant</t>
  </si>
  <si>
    <t xml:space="preserve">Al Nakheel</t>
  </si>
  <si>
    <t xml:space="preserve">+971 56 759 1838</t>
  </si>
  <si>
    <t xml:space="preserve">Grand Restaurant RAK</t>
  </si>
  <si>
    <t xml:space="preserve">+971 7 228 4250</t>
  </si>
  <si>
    <t xml:space="preserve">Nells Restaurant Ras Al Khaimah</t>
  </si>
  <si>
    <t xml:space="preserve">+971 7 235 7055</t>
  </si>
  <si>
    <t xml:space="preserve">Pachamulaku Restaurant</t>
  </si>
  <si>
    <t xml:space="preserve">+971 7 228 4471</t>
  </si>
  <si>
    <t xml:space="preserve">Thalassery Restaurant RAK</t>
  </si>
  <si>
    <t xml:space="preserve">+971 7 222 3326</t>
  </si>
  <si>
    <t xml:space="preserve">India Palace RAK Mall</t>
  </si>
  <si>
    <t xml:space="preserve">RAK Mall, Al Qurm</t>
  </si>
  <si>
    <t xml:space="preserve">+971 7 226 0171</t>
  </si>
  <si>
    <t xml:space="preserve">blu by L'Atelier</t>
  </si>
  <si>
    <t xml:space="preserve">Al Faseel</t>
  </si>
  <si>
    <t xml:space="preserve">+971 50 496 2645</t>
  </si>
  <si>
    <t xml:space="preserve">Bistro 1550</t>
  </si>
  <si>
    <t xml:space="preserve">DoubleTree, Fujairah City</t>
  </si>
  <si>
    <t xml:space="preserve">+971 9 206 0758</t>
  </si>
  <si>
    <t xml:space="preserve">Al Meshwar Restaurant</t>
  </si>
  <si>
    <t xml:space="preserve">Fujairah City Center</t>
  </si>
  <si>
    <t xml:space="preserve">+971 9 223 1113</t>
  </si>
  <si>
    <t xml:space="preserve">Ash by Azzam's Kitchen</t>
  </si>
  <si>
    <t xml:space="preserve">+971 50 730 2377</t>
  </si>
  <si>
    <t xml:space="preserve">L'Atelier Cafe &amp; Restaurant</t>
  </si>
  <si>
    <t xml:space="preserve">+971 9 223 2444</t>
  </si>
  <si>
    <t xml:space="preserve">Zebian Restaurant</t>
  </si>
  <si>
    <t xml:space="preserve">+971 9 606 2324</t>
  </si>
  <si>
    <t xml:space="preserve">Mara Lounge Restaurant</t>
  </si>
  <si>
    <t xml:space="preserve">Umbrella Beach, Al Faseel</t>
  </si>
  <si>
    <t xml:space="preserve">+971 50 100 2174</t>
  </si>
  <si>
    <t xml:space="preserve">Steki</t>
  </si>
  <si>
    <t xml:space="preserve">+971 9 222 2882</t>
  </si>
  <si>
    <t xml:space="preserve">ElWaseya Restaurant</t>
  </si>
  <si>
    <t xml:space="preserve">Al Butain</t>
  </si>
  <si>
    <t xml:space="preserve">+971 6 529 8883</t>
  </si>
  <si>
    <t xml:space="preserve">Mandi King Restaurant UAQ</t>
  </si>
  <si>
    <t xml:space="preserve">+971 6 745 3020</t>
  </si>
  <si>
    <t xml:space="preserve">Palma Saray Restaurant and Cafe</t>
  </si>
  <si>
    <t xml:space="preserve">Al Khor</t>
  </si>
  <si>
    <t xml:space="preserve">+971 56 822 2848</t>
  </si>
  <si>
    <t xml:space="preserve">Sikkat Beirut Restaurant and Cafe</t>
  </si>
  <si>
    <t xml:space="preserve">Al Muqta</t>
  </si>
  <si>
    <t xml:space="preserve">+971 52 944 2615</t>
  </si>
  <si>
    <t xml:space="preserve">Stage2 at Vida Beach Resort</t>
  </si>
  <si>
    <t xml:space="preserve">Al Raudah</t>
  </si>
  <si>
    <t xml:space="preserve">+971 6 706 5000</t>
  </si>
  <si>
    <t xml:space="preserve">Chillout Restaurant</t>
  </si>
  <si>
    <t xml:space="preserve">Green Belt</t>
  </si>
  <si>
    <t xml:space="preserve">+971 52 183 9882</t>
  </si>
  <si>
    <t xml:space="preserve">Blooms Restaurant</t>
  </si>
  <si>
    <t xml:space="preserve">Green Belt, Al Madar</t>
  </si>
  <si>
    <t xml:space="preserve">+971 50 110 9466</t>
  </si>
  <si>
    <t xml:space="preserve">The Copper Table Bistro UAQ</t>
  </si>
  <si>
    <t xml:space="preserve">Mall of UAQ, Green Belt</t>
  </si>
  <si>
    <t xml:space="preserve">+971 6 531 3811</t>
  </si>
  <si>
    <t xml:space="preserve">Brand</t>
  </si>
  <si>
    <t xml:space="preserve">Branch / Area</t>
  </si>
  <si>
    <t xml:space="preserve">Category</t>
  </si>
  <si>
    <t xml:space="preserve">Al Farooj Fresh</t>
  </si>
  <si>
    <t xml:space="preserve">Al Asayel St, Al Barsha 2</t>
  </si>
  <si>
    <t xml:space="preserve">Shawarma / grill</t>
  </si>
  <si>
    <t xml:space="preserve">+971 600 522255</t>
  </si>
  <si>
    <t xml:space="preserve">Etihad Mall, Muhaisnah</t>
  </si>
  <si>
    <t xml:space="preserve">Al Muwaij'i, Al Ain</t>
  </si>
  <si>
    <t xml:space="preserve">King Faisal St, Al Majaz</t>
  </si>
  <si>
    <t xml:space="preserve">Al Ijaza Cafeteria</t>
  </si>
  <si>
    <t xml:space="preserve">Beach Road, Jumeirah</t>
  </si>
  <si>
    <t xml:space="preserve">+971 4 344 4874</t>
  </si>
  <si>
    <t xml:space="preserve">Al Mallah</t>
  </si>
  <si>
    <t xml:space="preserve">Al Dhiyafa Road, Al Satwa</t>
  </si>
  <si>
    <t xml:space="preserve">Lebanese cafeteria</t>
  </si>
  <si>
    <t xml:space="preserve">+971 52 998 7193</t>
  </si>
  <si>
    <t xml:space="preserve">Al Safadi</t>
  </si>
  <si>
    <t xml:space="preserve">Lebanese</t>
  </si>
  <si>
    <t xml:space="preserve">+971 600 500601</t>
  </si>
  <si>
    <t xml:space="preserve">DIFC, Sheikh Zayed Road</t>
  </si>
  <si>
    <t xml:space="preserve">Umm Al Sheif</t>
  </si>
  <si>
    <t xml:space="preserve">AlBaik</t>
  </si>
  <si>
    <t xml:space="preserve">ADNOC, Dubai Hills</t>
  </si>
  <si>
    <t xml:space="preserve">Fried chicken / QSR</t>
  </si>
  <si>
    <t xml:space="preserve">+971 56 991 5635</t>
  </si>
  <si>
    <t xml:space="preserve">Al Ghurair, Al Rigga, Deira</t>
  </si>
  <si>
    <t xml:space="preserve">+971 50 289 2540</t>
  </si>
  <si>
    <t xml:space="preserve">Opposite BurJuman, Al Karama</t>
  </si>
  <si>
    <t xml:space="preserve">+971 800 2442245</t>
  </si>
  <si>
    <t xml:space="preserve">City Life, Al Tallah 2</t>
  </si>
  <si>
    <t xml:space="preserve">+971 56 689 6948</t>
  </si>
  <si>
    <t xml:space="preserve">Allo Beirut</t>
  </si>
  <si>
    <t xml:space="preserve">City Walk, Al Wasl</t>
  </si>
  <si>
    <t xml:space="preserve">+971 800 86234788</t>
  </si>
  <si>
    <t xml:space="preserve">Hessa Street, Al Barsha 3</t>
  </si>
  <si>
    <t xml:space="preserve">Muweilah Commercial</t>
  </si>
  <si>
    <t xml:space="preserve">Automatic Restaurant</t>
  </si>
  <si>
    <t xml:space="preserve">Al Mina, Madinat Dubai Al Melaheyah</t>
  </si>
  <si>
    <t xml:space="preserve">Lebanese grill</t>
  </si>
  <si>
    <t xml:space="preserve">+971 600 546667</t>
  </si>
  <si>
    <t xml:space="preserve">JAFZA, Jebel Ali</t>
  </si>
  <si>
    <t xml:space="preserve">Sheikh Zayed Road, 5th Interchange</t>
  </si>
  <si>
    <t xml:space="preserve">+971 56 526 6363</t>
  </si>
  <si>
    <t xml:space="preserve">Uptown Mirdif</t>
  </si>
  <si>
    <t xml:space="preserve">+971 56 526 9686</t>
  </si>
  <si>
    <t xml:space="preserve">Bait Al Mandi</t>
  </si>
  <si>
    <t xml:space="preserve">Yemeni / mandi</t>
  </si>
  <si>
    <t xml:space="preserve">+971 4 330 7777</t>
  </si>
  <si>
    <t xml:space="preserve">+971 4 262 9139</t>
  </si>
  <si>
    <t xml:space="preserve">Sheikh Zayed Road, Al Wasl</t>
  </si>
  <si>
    <t xml:space="preserve">+971 4 330 0777</t>
  </si>
  <si>
    <t xml:space="preserve">Baskin Robbins</t>
  </si>
  <si>
    <t xml:space="preserve">Aspin Tower, Sheikh Zayed Road</t>
  </si>
  <si>
    <t xml:space="preserve">Ice cream</t>
  </si>
  <si>
    <t xml:space="preserve">+971 4 339 6447</t>
  </si>
  <si>
    <t xml:space="preserve">King Faisal St, Bu Shaghara</t>
  </si>
  <si>
    <t xml:space="preserve">+971 54 584 9767</t>
  </si>
  <si>
    <t xml:space="preserve">Bikanervala</t>
  </si>
  <si>
    <t xml:space="preserve">Indian vegetarian</t>
  </si>
  <si>
    <t xml:space="preserve">+971 55 319 6789</t>
  </si>
  <si>
    <t xml:space="preserve">+971 56 990 6497</t>
  </si>
  <si>
    <t xml:space="preserve">I-Rise Tower, Barsha Heights</t>
  </si>
  <si>
    <t xml:space="preserve">+971 56 547 2172</t>
  </si>
  <si>
    <t xml:space="preserve">+971 50 107 4998</t>
  </si>
  <si>
    <t xml:space="preserve">Burger King</t>
  </si>
  <si>
    <t xml:space="preserve">ADNOC Belhasa, Al Quoz 3</t>
  </si>
  <si>
    <t xml:space="preserve">Burgers / QSR</t>
  </si>
  <si>
    <t xml:space="preserve">+971 600 522224</t>
  </si>
  <si>
    <t xml:space="preserve">Emarat Station, Al Safa</t>
  </si>
  <si>
    <t xml:space="preserve">ENOC Station, Dubai Hills</t>
  </si>
  <si>
    <t xml:space="preserve">Eppco, Barsha Heights</t>
  </si>
  <si>
    <t xml:space="preserve">Midtown, Production City</t>
  </si>
  <si>
    <t xml:space="preserve">Calicut Paragon</t>
  </si>
  <si>
    <t xml:space="preserve">Kerala / Malabar</t>
  </si>
  <si>
    <t xml:space="preserve">+971 4 335 8700</t>
  </si>
  <si>
    <t xml:space="preserve">+971 4 251 2545</t>
  </si>
  <si>
    <t xml:space="preserve">Chili's</t>
  </si>
  <si>
    <t xml:space="preserve">Ibn Battuta Mall</t>
  </si>
  <si>
    <t xml:space="preserve">American casual dining</t>
  </si>
  <si>
    <t xml:space="preserve">+971 4 256 3445</t>
  </si>
  <si>
    <t xml:space="preserve">+971 3 721 8857</t>
  </si>
  <si>
    <t xml:space="preserve">Dalma Mall, ICAD</t>
  </si>
  <si>
    <t xml:space="preserve">+971 2 667 4922</t>
  </si>
  <si>
    <t xml:space="preserve">City Centre Al Zahia</t>
  </si>
  <si>
    <t xml:space="preserve">+971 6 526 0143</t>
  </si>
  <si>
    <t xml:space="preserve">Chowking</t>
  </si>
  <si>
    <t xml:space="preserve">Filipino-Chinese</t>
  </si>
  <si>
    <t xml:space="preserve">+971 600 560031</t>
  </si>
  <si>
    <t xml:space="preserve">Hamdan Street</t>
  </si>
  <si>
    <t xml:space="preserve">Al Nuaimia</t>
  </si>
  <si>
    <t xml:space="preserve">Costa Coffee</t>
  </si>
  <si>
    <t xml:space="preserve">Al Wasl Road, Umm Suqeim 2</t>
  </si>
  <si>
    <t xml:space="preserve">Coffee</t>
  </si>
  <si>
    <t xml:space="preserve">+971 4 341 7113</t>
  </si>
  <si>
    <t xml:space="preserve">Jumeirah Beach Road, Umm Suqeim 1</t>
  </si>
  <si>
    <t xml:space="preserve">+971 4 321 1917</t>
  </si>
  <si>
    <t xml:space="preserve">Police Academy Drive Thru, Al Sufouh</t>
  </si>
  <si>
    <t xml:space="preserve">Thuraya Building, Barsha Heights</t>
  </si>
  <si>
    <t xml:space="preserve">+971 4 374 1178</t>
  </si>
  <si>
    <t xml:space="preserve">Domino's Pizza</t>
  </si>
  <si>
    <t xml:space="preserve">Pizza / QSR</t>
  </si>
  <si>
    <t xml:space="preserve">+971 600 541111</t>
  </si>
  <si>
    <t xml:space="preserve">Jaddaf Waterfront</t>
  </si>
  <si>
    <t xml:space="preserve">SIT Tower, Silicon Oasis</t>
  </si>
  <si>
    <t xml:space="preserve">Eggspectation</t>
  </si>
  <si>
    <t xml:space="preserve">Breakfast / brunch</t>
  </si>
  <si>
    <t xml:space="preserve">+971 4 575 1205</t>
  </si>
  <si>
    <t xml:space="preserve">JBR, Dubai Marina</t>
  </si>
  <si>
    <t xml:space="preserve">+971 4 552 7976</t>
  </si>
  <si>
    <t xml:space="preserve">Five Guys</t>
  </si>
  <si>
    <t xml:space="preserve">City Walk</t>
  </si>
  <si>
    <t xml:space="preserve">Burgers</t>
  </si>
  <si>
    <t xml:space="preserve">+971 4 385 5016</t>
  </si>
  <si>
    <t xml:space="preserve">DXB Terminal 3</t>
  </si>
  <si>
    <t xml:space="preserve">+971 4 395 0921</t>
  </si>
  <si>
    <t xml:space="preserve">+971 4 557 6880</t>
  </si>
  <si>
    <t xml:space="preserve">+971 4 380 4117</t>
  </si>
  <si>
    <t xml:space="preserve">Gazebo</t>
  </si>
  <si>
    <t xml:space="preserve">Al Mankhool</t>
  </si>
  <si>
    <t xml:space="preserve">North Indian</t>
  </si>
  <si>
    <t xml:space="preserve">+971 4 359 8555</t>
  </si>
  <si>
    <t xml:space="preserve">Bay Avenue, Business Bay</t>
  </si>
  <si>
    <t xml:space="preserve">+971 4 344 4088</t>
  </si>
  <si>
    <t xml:space="preserve">Dubai Creek Harbour</t>
  </si>
  <si>
    <t xml:space="preserve">+971 4 354 7589</t>
  </si>
  <si>
    <t xml:space="preserve">+971 4 397 5146</t>
  </si>
  <si>
    <t xml:space="preserve">Hardee's</t>
  </si>
  <si>
    <t xml:space="preserve">Al Khaleej Centre, Mankhool</t>
  </si>
  <si>
    <t xml:space="preserve">+971 600 569000</t>
  </si>
  <si>
    <t xml:space="preserve">Dubailand, Wadi Al Safa 5</t>
  </si>
  <si>
    <t xml:space="preserve">Eissa Tower, Sheikh Zayed Road</t>
  </si>
  <si>
    <t xml:space="preserve">Jumeirah Beach Road, Umm Suqeim</t>
  </si>
  <si>
    <t xml:space="preserve">Jollibee</t>
  </si>
  <si>
    <t xml:space="preserve">Filipino / QSR</t>
  </si>
  <si>
    <t xml:space="preserve">+971 600 587000</t>
  </si>
  <si>
    <t xml:space="preserve">Manila Centre, Al Satwa</t>
  </si>
  <si>
    <t xml:space="preserve">New Karama</t>
  </si>
  <si>
    <t xml:space="preserve">Al Falah St, Madinat Zayed</t>
  </si>
  <si>
    <t xml:space="preserve">Karachi Darbar</t>
  </si>
  <si>
    <t xml:space="preserve">Pakistani</t>
  </si>
  <si>
    <t xml:space="preserve">+971 4 353 3177</t>
  </si>
  <si>
    <t xml:space="preserve">Al Karama 1</t>
  </si>
  <si>
    <t xml:space="preserve">+971 4 334 7272</t>
  </si>
  <si>
    <t xml:space="preserve">Al Qusais Industrial 3</t>
  </si>
  <si>
    <t xml:space="preserve">+971 4 267 3131</t>
  </si>
  <si>
    <t xml:space="preserve">Cargo Village, Airport Road</t>
  </si>
  <si>
    <t xml:space="preserve">+971 4 282 8285</t>
  </si>
  <si>
    <t xml:space="preserve">KFC</t>
  </si>
  <si>
    <t xml:space="preserve">ADNOC Al Yufrah 2</t>
  </si>
  <si>
    <t xml:space="preserve">+971 600 522252</t>
  </si>
  <si>
    <t xml:space="preserve">Al Rigga Metro, Deira</t>
  </si>
  <si>
    <t xml:space="preserve">Al Wasl Road, Al Safa</t>
  </si>
  <si>
    <t xml:space="preserve">Dubai Mall Fashion Avenue</t>
  </si>
  <si>
    <t xml:space="preserve">Sheikh Zayed Road (Dynamic Tower)</t>
  </si>
  <si>
    <t xml:space="preserve">Krispy Kreme</t>
  </si>
  <si>
    <t xml:space="preserve">Mohebi Building, Al Karama</t>
  </si>
  <si>
    <t xml:space="preserve">Donuts / coffee</t>
  </si>
  <si>
    <t xml:space="preserve">+971 52 166 9509</t>
  </si>
  <si>
    <t xml:space="preserve">+971 600 525556</t>
  </si>
  <si>
    <t xml:space="preserve">Al Darari, Industrial Area</t>
  </si>
  <si>
    <t xml:space="preserve">+971 52 104 4205</t>
  </si>
  <si>
    <t xml:space="preserve">Man'oushe Street</t>
  </si>
  <si>
    <t xml:space="preserve">Al Ghurair Centre, Deira</t>
  </si>
  <si>
    <t xml:space="preserve">Lebanese bakery</t>
  </si>
  <si>
    <t xml:space="preserve">+971 4 266 5961</t>
  </si>
  <si>
    <t xml:space="preserve">Burj View, Downtown</t>
  </si>
  <si>
    <t xml:space="preserve">+971 600 566667</t>
  </si>
  <si>
    <t xml:space="preserve">+971 2 673 3360</t>
  </si>
  <si>
    <t xml:space="preserve">McDonald's</t>
  </si>
  <si>
    <t xml:space="preserve">Algeria St, Al Warqa 2</t>
  </si>
  <si>
    <t xml:space="preserve">+971 600 588885</t>
  </si>
  <si>
    <t xml:space="preserve">Jumeirah Beach, Jumeirah 1</t>
  </si>
  <si>
    <t xml:space="preserve">Oud Metha (ENOC 1044)</t>
  </si>
  <si>
    <t xml:space="preserve">Souk Extra, Silicon Oasis</t>
  </si>
  <si>
    <t xml:space="preserve">Nando's</t>
  </si>
  <si>
    <t xml:space="preserve">Marina Walk</t>
  </si>
  <si>
    <t xml:space="preserve">Peri-peri chicken</t>
  </si>
  <si>
    <t xml:space="preserve">+971 600 542525</t>
  </si>
  <si>
    <t xml:space="preserve">Saeed Tower II, Sheikh Zayed Road</t>
  </si>
  <si>
    <t xml:space="preserve">The Dubai Mall Waterfront</t>
  </si>
  <si>
    <t xml:space="preserve">The Walk at JBR</t>
  </si>
  <si>
    <t xml:space="preserve">Operation: Falafel</t>
  </si>
  <si>
    <t xml:space="preserve">Mohammed Bin Rashid Blvd, Downtown</t>
  </si>
  <si>
    <t xml:space="preserve">Levantine / falafel</t>
  </si>
  <si>
    <t xml:space="preserve">+971 600 530006</t>
  </si>
  <si>
    <t xml:space="preserve">The Walk, JBR</t>
  </si>
  <si>
    <t xml:space="preserve">+971 4 424 3098</t>
  </si>
  <si>
    <t xml:space="preserve">Muroor Road, Al Danah</t>
  </si>
  <si>
    <t xml:space="preserve">Papa John's</t>
  </si>
  <si>
    <t xml:space="preserve">ENOC 1019, Al Badaa</t>
  </si>
  <si>
    <t xml:space="preserve">+971 600 520001</t>
  </si>
  <si>
    <t xml:space="preserve">ENOC 84, Al Qusais</t>
  </si>
  <si>
    <t xml:space="preserve">ENOC 93, Jumeirah 3</t>
  </si>
  <si>
    <t xml:space="preserve">Al Ain Mall Food Court</t>
  </si>
  <si>
    <t xml:space="preserve">Pizza Hut</t>
  </si>
  <si>
    <t xml:space="preserve">+971 600 569999</t>
  </si>
  <si>
    <t xml:space="preserve">Al Khaleej St, Deira Corniche</t>
  </si>
  <si>
    <t xml:space="preserve">Sheikh Zayed Road</t>
  </si>
  <si>
    <t xml:space="preserve">Union Coop, Al Barsha South</t>
  </si>
  <si>
    <t xml:space="preserve">Zainal Mohebi Plaza, Al Karama</t>
  </si>
  <si>
    <t xml:space="preserve">Popeyes</t>
  </si>
  <si>
    <t xml:space="preserve">Al Ghurair Centre, Al Rigga</t>
  </si>
  <si>
    <t xml:space="preserve">+971 600 567777</t>
  </si>
  <si>
    <t xml:space="preserve">Al Hudaiba</t>
  </si>
  <si>
    <t xml:space="preserve">Dubai Internet City</t>
  </si>
  <si>
    <t xml:space="preserve">Oud Metha</t>
  </si>
  <si>
    <t xml:space="preserve">Airport Road, Al Manhal</t>
  </si>
  <si>
    <t xml:space="preserve">Ravi Fine Dine</t>
  </si>
  <si>
    <t xml:space="preserve">+971 58 965 0044</t>
  </si>
  <si>
    <t xml:space="preserve">Ravi Restaurant</t>
  </si>
  <si>
    <t xml:space="preserve">+971 4 331 5353</t>
  </si>
  <si>
    <t xml:space="preserve">+971 50 474 4220</t>
  </si>
  <si>
    <t xml:space="preserve">Saravanaa Bhavan</t>
  </si>
  <si>
    <t xml:space="preserve">South Indian vegetarian</t>
  </si>
  <si>
    <t xml:space="preserve">+971 4 334 5252</t>
  </si>
  <si>
    <t xml:space="preserve">Shake Shack</t>
  </si>
  <si>
    <t xml:space="preserve">Al Barsha Drive Thru</t>
  </si>
  <si>
    <t xml:space="preserve">+971 4 704 6957</t>
  </si>
  <si>
    <t xml:space="preserve">DXB Terminal 3, Concourse A</t>
  </si>
  <si>
    <t xml:space="preserve">+971 4 419 0573</t>
  </si>
  <si>
    <t xml:space="preserve">First Avenue Mall, Motor City</t>
  </si>
  <si>
    <t xml:space="preserve">+971 4 419 0093</t>
  </si>
  <si>
    <t xml:space="preserve">+971 4 419 0435</t>
  </si>
  <si>
    <t xml:space="preserve">Starbucks</t>
  </si>
  <si>
    <t xml:space="preserve">Al Wasl Road, Jumeirah 3</t>
  </si>
  <si>
    <t xml:space="preserve">+971 4 419 0557</t>
  </si>
  <si>
    <t xml:space="preserve">DXB Terminal 2 Departures</t>
  </si>
  <si>
    <t xml:space="preserve">+971 4 419 0468</t>
  </si>
  <si>
    <t xml:space="preserve">DXB Terminal 3 Arrivals</t>
  </si>
  <si>
    <t xml:space="preserve">+971 4 419 0384</t>
  </si>
  <si>
    <t xml:space="preserve">Subway</t>
  </si>
  <si>
    <t xml:space="preserve">Al Durrah Tower, Sheikh Zayed Road</t>
  </si>
  <si>
    <t xml:space="preserve">Sandwiches / QSR</t>
  </si>
  <si>
    <t xml:space="preserve">+971 4 332 3553</t>
  </si>
  <si>
    <t xml:space="preserve">Dubai Healthcare City</t>
  </si>
  <si>
    <t xml:space="preserve">+971 50 858 6040</t>
  </si>
  <si>
    <t xml:space="preserve">Dubai Mall Food Court</t>
  </si>
  <si>
    <t xml:space="preserve">+971 4 339 8808</t>
  </si>
  <si>
    <t xml:space="preserve">Dubai Mall Lower Ground</t>
  </si>
  <si>
    <t xml:space="preserve">+971 4 232 5579</t>
  </si>
  <si>
    <t xml:space="preserve">ENOC 1085, City of Arabia</t>
  </si>
  <si>
    <t xml:space="preserve">+971 4 552 7185</t>
  </si>
  <si>
    <t xml:space="preserve">Texas Chicken</t>
  </si>
  <si>
    <t xml:space="preserve">Baghdad St, Al Qusais</t>
  </si>
  <si>
    <t xml:space="preserve">Dubailand Residence Complex</t>
  </si>
  <si>
    <t xml:space="preserve">DXB Tower, Sheikh Zayed Road</t>
  </si>
  <si>
    <t xml:space="preserve">Warsan 3</t>
  </si>
  <si>
    <t xml:space="preserve">Matajer Al Quoz</t>
  </si>
  <si>
    <t xml:space="preserve">The Cheesecake Factory</t>
  </si>
  <si>
    <t xml:space="preserve">+971 4 419 0880</t>
  </si>
  <si>
    <t xml:space="preserve">+971 4 315 3655</t>
  </si>
  <si>
    <t xml:space="preserve">+971 4 419 0224</t>
  </si>
  <si>
    <t xml:space="preserve">Tim Hortons</t>
  </si>
  <si>
    <t xml:space="preserve">Jumeirah Centre</t>
  </si>
  <si>
    <t xml:space="preserve">Coffee / bakery</t>
  </si>
  <si>
    <t xml:space="preserve">+971 55 213 6591</t>
  </si>
  <si>
    <t xml:space="preserve">Latifa Tower, Sheikh Zayed Road</t>
  </si>
  <si>
    <t xml:space="preserve">+971 52 899 8204</t>
  </si>
  <si>
    <t xml:space="preserve">Number One Tower, Sheikh Zayed Road</t>
  </si>
  <si>
    <t xml:space="preserve">+971 55 213 6834</t>
  </si>
  <si>
    <t xml:space="preserve">The B1, Al Barsha 1</t>
  </si>
  <si>
    <t xml:space="preserve">+971 54 307 3580</t>
  </si>
  <si>
    <t xml:space="preserve">Wendy's</t>
  </si>
  <si>
    <t xml:space="preserve">Al Saqr Business Tower, DIFC</t>
  </si>
  <si>
    <t xml:space="preserve">+971 56 681 2649</t>
  </si>
  <si>
    <t xml:space="preserve">+971 50 932 4162</t>
  </si>
  <si>
    <t xml:space="preserve">Al Fardan Tower, Hamdan St</t>
  </si>
  <si>
    <t xml:space="preserve">+971 56 681 2798</t>
  </si>
  <si>
    <t xml:space="preserve">Al Yarmook</t>
  </si>
  <si>
    <t xml:space="preserve">+971 54 994 6874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</si>
</sst>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hainBranches" displayName="ChainBranches" ref="A1:J150" headerRowCount="1" totalsRowCount="0" totalsRowShown="0">
  <autoFilter ref="A1:J150"/>
  <tableColumns count="10">
    <tableColumn id="1" name="#"/>
    <tableColumn id="2" name="Brand"/>
    <tableColumn id="3" name="Branch / Area"/>
    <tableColumn id="4" name="Emirate"/>
    <tableColumn id="5" name="Category"/>
    <tableColumn id="6" name="Phone"/>
    <tableColumn id="7" name="Google rating"/>
    <tableColumn id="8" name="Reviews"/>
    <tableColumn id="9" name="Price tier"/>
    <tableColumn id="10" name="Open 24 hrs"/>
  </tableColumns>
</table>
</file>

<file path=xl/tables/table2.xml><?xml version="1.0" encoding="utf-8"?>
<table xmlns="http://schemas.openxmlformats.org/spreadsheetml/2006/main" id="2" name="UAEVenues" displayName="UAEVenues" ref="A1:J410" headerRowCount="1" totalsRowCount="0" totalsRowShown="0">
  <autoFilter ref="A1:J410"/>
  <tableColumns count="10">
    <tableColumn id="1" name="#"/>
    <tableColumn id="2" name="Name"/>
    <tableColumn id="3" name="Type"/>
    <tableColumn id="4" name="Area / District"/>
    <tableColumn id="5" name="Emirate"/>
    <tableColumn id="6" name="Phone"/>
    <tableColumn id="7" name="Google rating"/>
    <tableColumn id="8" name="Reviews"/>
    <tableColumn id="9" name="Price tier"/>
    <tableColumn id="10" name="Open 24 h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COUNTA(Directory!B2:B410)</f>
        <v>409</v>
      </c>
    </row>
    <row r="4" customFormat="false" ht="15" hidden="false" customHeight="false" outlineLevel="0" collapsed="false">
      <c r="A4" s="2" t="s">
        <v>2</v>
      </c>
      <c r="B4" s="3" t="n">
        <f aca="false">COUNTA('Chain Branches'!B2:B150)</f>
        <v>149</v>
      </c>
    </row>
    <row r="5" customFormat="false" ht="15" hidden="false" customHeight="false" outlineLevel="0" collapsed="false">
      <c r="A5" s="2" t="s">
        <v>3</v>
      </c>
      <c r="B5" s="3" t="n">
        <v>41</v>
      </c>
    </row>
    <row r="6" customFormat="false" ht="15" hidden="false" customHeight="false" outlineLevel="0" collapsed="false">
      <c r="A6" s="4" t="s">
        <v>4</v>
      </c>
      <c r="B6" s="5" t="n">
        <f aca="false">B3+B4</f>
        <v>558</v>
      </c>
    </row>
    <row r="8" customFormat="false" ht="15" hidden="false" customHeight="false" outlineLevel="0" collapsed="false">
      <c r="A8" s="6" t="s">
        <v>5</v>
      </c>
    </row>
    <row r="9" customFormat="false" ht="15" hidden="false" customHeight="false" outlineLevel="0" collapsed="false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</row>
    <row r="10" customFormat="false" ht="15" hidden="false" customHeight="false" outlineLevel="0" collapsed="false">
      <c r="A10" s="8" t="s">
        <v>11</v>
      </c>
      <c r="B10" s="9" t="n">
        <f aca="false">COUNTIFS(Directory!$E$2:$E$410,$A10,Directory!$C$2:$C$410,"Cafeteria")</f>
        <v>39</v>
      </c>
      <c r="C10" s="9" t="n">
        <f aca="false">COUNTIFS(Directory!$E$2:$E$410,$A10,Directory!$C$2:$C$410,"Local restaurant")</f>
        <v>111</v>
      </c>
      <c r="D10" s="9" t="n">
        <f aca="false">COUNTIFS(Directory!$E$2:$E$410,$A10,Directory!$C$2:$C$410,"Chain / multi-branch")</f>
        <v>99</v>
      </c>
      <c r="E10" s="9" t="n">
        <f aca="false">SUM(B10:D10)</f>
        <v>249</v>
      </c>
    </row>
    <row r="11" customFormat="false" ht="15" hidden="false" customHeight="false" outlineLevel="0" collapsed="false">
      <c r="A11" s="8" t="s">
        <v>12</v>
      </c>
      <c r="B11" s="9" t="n">
        <f aca="false">COUNTIFS(Directory!$E$2:$E$410,$A11,Directory!$C$2:$C$410,"Cafeteria")</f>
        <v>5</v>
      </c>
      <c r="C11" s="9" t="n">
        <f aca="false">COUNTIFS(Directory!$E$2:$E$410,$A11,Directory!$C$2:$C$410,"Local restaurant")</f>
        <v>21</v>
      </c>
      <c r="D11" s="9" t="n">
        <f aca="false">COUNTIFS(Directory!$E$2:$E$410,$A11,Directory!$C$2:$C$410,"Chain / multi-branch")</f>
        <v>54</v>
      </c>
      <c r="E11" s="9" t="n">
        <f aca="false">SUM(B11:D11)</f>
        <v>80</v>
      </c>
    </row>
    <row r="12" customFormat="false" ht="15" hidden="false" customHeight="false" outlineLevel="0" collapsed="false">
      <c r="A12" s="8" t="s">
        <v>13</v>
      </c>
      <c r="B12" s="9" t="n">
        <f aca="false">COUNTIFS(Directory!$E$2:$E$410,$A12,Directory!$C$2:$C$410,"Cafeteria")</f>
        <v>13</v>
      </c>
      <c r="C12" s="9" t="n">
        <f aca="false">COUNTIFS(Directory!$E$2:$E$410,$A12,Directory!$C$2:$C$410,"Local restaurant")</f>
        <v>12</v>
      </c>
      <c r="D12" s="9" t="n">
        <f aca="false">COUNTIFS(Directory!$E$2:$E$410,$A12,Directory!$C$2:$C$410,"Chain / multi-branch")</f>
        <v>15</v>
      </c>
      <c r="E12" s="9" t="n">
        <f aca="false">SUM(B12:D12)</f>
        <v>40</v>
      </c>
    </row>
    <row r="13" customFormat="false" ht="15" hidden="false" customHeight="false" outlineLevel="0" collapsed="false">
      <c r="A13" s="8" t="s">
        <v>14</v>
      </c>
      <c r="B13" s="9" t="n">
        <f aca="false">COUNTIFS(Directory!$E$2:$E$410,$A13,Directory!$C$2:$C$410,"Cafeteria")</f>
        <v>6</v>
      </c>
      <c r="C13" s="9" t="n">
        <f aca="false">COUNTIFS(Directory!$E$2:$E$410,$A13,Directory!$C$2:$C$410,"Local restaurant")</f>
        <v>5</v>
      </c>
      <c r="D13" s="9" t="n">
        <f aca="false">COUNTIFS(Directory!$E$2:$E$410,$A13,Directory!$C$2:$C$410,"Chain / multi-branch")</f>
        <v>5</v>
      </c>
      <c r="E13" s="9" t="n">
        <f aca="false">SUM(B13:D13)</f>
        <v>16</v>
      </c>
    </row>
    <row r="14" customFormat="false" ht="15" hidden="false" customHeight="false" outlineLevel="0" collapsed="false">
      <c r="A14" s="8" t="s">
        <v>15</v>
      </c>
      <c r="B14" s="9" t="n">
        <f aca="false">COUNTIFS(Directory!$E$2:$E$410,$A14,Directory!$C$2:$C$410,"Cafeteria")</f>
        <v>0</v>
      </c>
      <c r="C14" s="9" t="n">
        <f aca="false">COUNTIFS(Directory!$E$2:$E$410,$A14,Directory!$C$2:$C$410,"Local restaurant")</f>
        <v>6</v>
      </c>
      <c r="D14" s="9" t="n">
        <f aca="false">COUNTIFS(Directory!$E$2:$E$410,$A14,Directory!$C$2:$C$410,"Chain / multi-branch")</f>
        <v>2</v>
      </c>
      <c r="E14" s="9" t="n">
        <f aca="false">SUM(B14:D14)</f>
        <v>8</v>
      </c>
    </row>
    <row r="15" customFormat="false" ht="15" hidden="false" customHeight="false" outlineLevel="0" collapsed="false">
      <c r="A15" s="8" t="s">
        <v>16</v>
      </c>
      <c r="B15" s="9" t="n">
        <f aca="false">COUNTIFS(Directory!$E$2:$E$410,$A15,Directory!$C$2:$C$410,"Cafeteria")</f>
        <v>0</v>
      </c>
      <c r="C15" s="9" t="n">
        <f aca="false">COUNTIFS(Directory!$E$2:$E$410,$A15,Directory!$C$2:$C$410,"Local restaurant")</f>
        <v>4</v>
      </c>
      <c r="D15" s="9" t="n">
        <f aca="false">COUNTIFS(Directory!$E$2:$E$410,$A15,Directory!$C$2:$C$410,"Chain / multi-branch")</f>
        <v>4</v>
      </c>
      <c r="E15" s="9" t="n">
        <f aca="false">SUM(B15:D15)</f>
        <v>8</v>
      </c>
    </row>
    <row r="16" customFormat="false" ht="15" hidden="false" customHeight="false" outlineLevel="0" collapsed="false">
      <c r="A16" s="8" t="s">
        <v>17</v>
      </c>
      <c r="B16" s="9" t="n">
        <f aca="false">COUNTIFS(Directory!$E$2:$E$410,$A16,Directory!$C$2:$C$410,"Cafeteria")</f>
        <v>0</v>
      </c>
      <c r="C16" s="9" t="n">
        <f aca="false">COUNTIFS(Directory!$E$2:$E$410,$A16,Directory!$C$2:$C$410,"Local restaurant")</f>
        <v>5</v>
      </c>
      <c r="D16" s="9" t="n">
        <f aca="false">COUNTIFS(Directory!$E$2:$E$410,$A16,Directory!$C$2:$C$410,"Chain / multi-branch")</f>
        <v>3</v>
      </c>
      <c r="E16" s="9" t="n">
        <f aca="false">SUM(B16:D16)</f>
        <v>8</v>
      </c>
    </row>
    <row r="17" customFormat="false" ht="15" hidden="false" customHeight="false" outlineLevel="0" collapsed="false">
      <c r="A17" s="10" t="s">
        <v>18</v>
      </c>
      <c r="B17" s="11" t="n">
        <f aca="false">SUM(B10:B16)</f>
        <v>63</v>
      </c>
      <c r="C17" s="11" t="n">
        <f aca="false">SUM(C10:C16)</f>
        <v>164</v>
      </c>
      <c r="D17" s="11" t="n">
        <f aca="false">SUM(D10:D16)</f>
        <v>182</v>
      </c>
      <c r="E17" s="11" t="n">
        <f aca="false">SUM(E10:E16)</f>
        <v>409</v>
      </c>
    </row>
    <row r="19" customFormat="false" ht="15" hidden="false" customHeight="false" outlineLevel="0" collapsed="false">
      <c r="A19" s="6" t="s">
        <v>19</v>
      </c>
    </row>
    <row r="20" customFormat="false" ht="15" hidden="false" customHeight="false" outlineLevel="0" collapsed="false">
      <c r="A20" s="12" t="s">
        <v>6</v>
      </c>
      <c r="B20" s="12" t="s">
        <v>20</v>
      </c>
    </row>
    <row r="21" customFormat="false" ht="15" hidden="false" customHeight="false" outlineLevel="0" collapsed="false">
      <c r="A21" s="8" t="s">
        <v>11</v>
      </c>
      <c r="B21" s="9" t="n">
        <f aca="false">COUNTIF('Chain Branches'!$D$2:$D$150,$A21)</f>
        <v>128</v>
      </c>
    </row>
    <row r="22" customFormat="false" ht="15" hidden="false" customHeight="false" outlineLevel="0" collapsed="false">
      <c r="A22" s="8" t="s">
        <v>12</v>
      </c>
      <c r="B22" s="9" t="n">
        <f aca="false">COUNTIF('Chain Branches'!$D$2:$D$150,$A22)</f>
        <v>10</v>
      </c>
    </row>
    <row r="23" customFormat="false" ht="15" hidden="false" customHeight="false" outlineLevel="0" collapsed="false">
      <c r="A23" s="8" t="s">
        <v>13</v>
      </c>
      <c r="B23" s="9" t="n">
        <f aca="false">COUNTIF('Chain Branches'!$D$2:$D$150,$A23)</f>
        <v>9</v>
      </c>
    </row>
    <row r="24" customFormat="false" ht="15" hidden="false" customHeight="false" outlineLevel="0" collapsed="false">
      <c r="A24" s="8" t="s">
        <v>14</v>
      </c>
      <c r="B24" s="9" t="n">
        <f aca="false">COUNTIF('Chain Branches'!$D$2:$D$150,$A24)</f>
        <v>2</v>
      </c>
    </row>
    <row r="25" customFormat="false" ht="15" hidden="false" customHeight="false" outlineLevel="0" collapsed="false">
      <c r="A25" s="8" t="s">
        <v>15</v>
      </c>
      <c r="B25" s="9" t="n">
        <f aca="false">COUNTIF('Chain Branches'!$D$2:$D$150,$A25)</f>
        <v>0</v>
      </c>
    </row>
    <row r="26" customFormat="false" ht="15" hidden="false" customHeight="false" outlineLevel="0" collapsed="false">
      <c r="A26" s="8" t="s">
        <v>16</v>
      </c>
      <c r="B26" s="9" t="n">
        <f aca="false">COUNTIF('Chain Branches'!$D$2:$D$150,$A26)</f>
        <v>0</v>
      </c>
    </row>
    <row r="27" customFormat="false" ht="15" hidden="false" customHeight="false" outlineLevel="0" collapsed="false">
      <c r="A27" s="8" t="s">
        <v>17</v>
      </c>
      <c r="B27" s="9" t="n">
        <f aca="false">COUNTIF('Chain Branches'!$D$2:$D$150,$A27)</f>
        <v>0</v>
      </c>
    </row>
    <row r="28" customFormat="false" ht="15" hidden="false" customHeight="false" outlineLevel="0" collapsed="false">
      <c r="A28" s="10" t="s">
        <v>18</v>
      </c>
      <c r="B28" s="11" t="n">
        <f aca="false">SUM(B21:B27)</f>
        <v>149</v>
      </c>
    </row>
    <row r="30" customFormat="false" ht="15" hidden="false" customHeight="false" outlineLevel="0" collapsed="false">
      <c r="A30" s="8" t="s">
        <v>21</v>
      </c>
      <c r="B30" s="9" t="n">
        <f aca="false">COUNTIF(Directory!$J$2:$J$410,"Yes")+COUNTIF('Chain Branches'!$J$2:$J$150,"Yes")</f>
        <v>170</v>
      </c>
    </row>
    <row r="31" customFormat="false" ht="15" hidden="false" customHeight="false" outlineLevel="0" collapsed="false">
      <c r="A31" s="8" t="s">
        <v>22</v>
      </c>
      <c r="B31" s="9" t="n">
        <v>216</v>
      </c>
    </row>
    <row r="33" customFormat="false" ht="15" hidden="false" customHeight="false" outlineLevel="0" collapsed="false">
      <c r="A33" s="10" t="s">
        <v>23</v>
      </c>
    </row>
    <row r="34" customFormat="false" ht="15" hidden="false" customHeight="false" outlineLevel="0" collapsed="false">
      <c r="A34" s="8" t="s">
        <v>24</v>
      </c>
    </row>
    <row r="35" customFormat="false" ht="15" hidden="false" customHeight="false" outlineLevel="0" collapsed="false">
      <c r="A35" s="8" t="s">
        <v>25</v>
      </c>
    </row>
    <row r="36" customFormat="false" ht="15" hidden="false" customHeight="false" outlineLevel="0" collapsed="false">
      <c r="A36" s="8" t="s">
        <v>26</v>
      </c>
    </row>
    <row r="37" customFormat="false" ht="15" hidden="false" customHeight="false" outlineLevel="0" collapsed="false">
      <c r="A37" s="8" t="s">
        <v>27</v>
      </c>
    </row>
    <row r="38" customFormat="false" ht="15" hidden="false" customHeight="false" outlineLevel="0" collapsed="false">
      <c r="A38" s="8" t="s">
        <v>28</v>
      </c>
    </row>
    <row r="39" customFormat="false" ht="15" hidden="false" customHeight="false" outlineLevel="0" collapsed="false">
      <c r="A39" s="8" t="s">
        <v>29</v>
      </c>
    </row>
    <row r="40" customFormat="false" ht="15" hidden="false" customHeight="false" outlineLevel="0" collapsed="false">
      <c r="A40" s="8" t="s">
        <v>30</v>
      </c>
    </row>
    <row r="41" customFormat="false" ht="15" hidden="false" customHeight="false" outlineLevel="0" collapsed="false">
      <c r="A41" s="8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21"/>
    <col collapsed="false" customWidth="true" hidden="false" outlineLevel="0" max="4" min="4" style="0" width="32"/>
    <col collapsed="false" customWidth="true" hidden="false" outlineLevel="0" max="5" min="5" style="0" width="15"/>
    <col collapsed="false" customWidth="true" hidden="false" outlineLevel="0" max="6" min="6" style="0" width="19"/>
    <col collapsed="false" customWidth="true" hidden="false" outlineLevel="0" max="7" min="7" style="0" width="13"/>
    <col collapsed="false" customWidth="true" hidden="false" outlineLevel="0" max="9" min="8" style="0" width="10"/>
    <col collapsed="false" customWidth="true" hidden="false" outlineLevel="0" max="10" min="10" style="0" width="11"/>
  </cols>
  <sheetData>
    <row r="1" customFormat="false" ht="26.85" hidden="false" customHeight="false" outlineLevel="0" collapsed="false">
      <c r="A1" s="13" t="s">
        <v>32</v>
      </c>
      <c r="B1" s="13" t="s">
        <v>33</v>
      </c>
      <c r="C1" s="13" t="s">
        <v>34</v>
      </c>
      <c r="D1" s="13" t="s">
        <v>35</v>
      </c>
      <c r="E1" s="13" t="s">
        <v>6</v>
      </c>
      <c r="F1" s="13" t="s">
        <v>36</v>
      </c>
      <c r="G1" s="13" t="s">
        <v>37</v>
      </c>
      <c r="H1" s="13" t="s">
        <v>38</v>
      </c>
      <c r="I1" s="13" t="s">
        <v>39</v>
      </c>
      <c r="J1" s="13" t="s">
        <v>40</v>
      </c>
    </row>
    <row r="2" customFormat="false" ht="15" hidden="false" customHeight="false" outlineLevel="0" collapsed="false">
      <c r="A2" s="14" t="n">
        <v>1</v>
      </c>
      <c r="B2" s="15" t="s">
        <v>41</v>
      </c>
      <c r="C2" s="15" t="s">
        <v>42</v>
      </c>
      <c r="D2" s="15" t="s">
        <v>43</v>
      </c>
      <c r="E2" s="15" t="s">
        <v>11</v>
      </c>
      <c r="F2" s="15" t="s">
        <v>44</v>
      </c>
      <c r="G2" s="16" t="n">
        <v>4.7</v>
      </c>
      <c r="H2" s="17" t="n">
        <v>561</v>
      </c>
      <c r="I2" s="14" t="s">
        <v>45</v>
      </c>
      <c r="J2" s="14" t="s">
        <v>46</v>
      </c>
    </row>
    <row r="3" customFormat="false" ht="15" hidden="false" customHeight="false" outlineLevel="0" collapsed="false">
      <c r="A3" s="14" t="n">
        <v>2</v>
      </c>
      <c r="B3" s="15" t="s">
        <v>47</v>
      </c>
      <c r="C3" s="15" t="s">
        <v>42</v>
      </c>
      <c r="D3" s="15" t="s">
        <v>43</v>
      </c>
      <c r="E3" s="15" t="s">
        <v>11</v>
      </c>
      <c r="F3" s="15" t="s">
        <v>48</v>
      </c>
      <c r="G3" s="16" t="n">
        <v>4.5</v>
      </c>
      <c r="H3" s="17" t="n">
        <v>4187</v>
      </c>
      <c r="I3" s="14" t="s">
        <v>45</v>
      </c>
      <c r="J3" s="14" t="s">
        <v>46</v>
      </c>
    </row>
    <row r="4" customFormat="false" ht="15" hidden="false" customHeight="false" outlineLevel="0" collapsed="false">
      <c r="A4" s="14" t="n">
        <v>3</v>
      </c>
      <c r="B4" s="15" t="s">
        <v>49</v>
      </c>
      <c r="C4" s="15" t="s">
        <v>42</v>
      </c>
      <c r="D4" s="15" t="s">
        <v>43</v>
      </c>
      <c r="E4" s="15" t="s">
        <v>11</v>
      </c>
      <c r="F4" s="15" t="s">
        <v>50</v>
      </c>
      <c r="G4" s="16" t="n">
        <v>4.6</v>
      </c>
      <c r="H4" s="17" t="n">
        <v>3482</v>
      </c>
      <c r="I4" s="14" t="s">
        <v>45</v>
      </c>
      <c r="J4" s="14" t="s">
        <v>46</v>
      </c>
    </row>
    <row r="5" customFormat="false" ht="15" hidden="false" customHeight="false" outlineLevel="0" collapsed="false">
      <c r="A5" s="14" t="n">
        <v>4</v>
      </c>
      <c r="B5" s="15" t="s">
        <v>51</v>
      </c>
      <c r="C5" s="15" t="s">
        <v>52</v>
      </c>
      <c r="D5" s="15" t="s">
        <v>53</v>
      </c>
      <c r="E5" s="15" t="s">
        <v>11</v>
      </c>
      <c r="F5" s="15" t="s">
        <v>54</v>
      </c>
      <c r="G5" s="16" t="n">
        <v>3.7</v>
      </c>
      <c r="H5" s="17" t="n">
        <v>3</v>
      </c>
      <c r="I5" s="14" t="s">
        <v>55</v>
      </c>
      <c r="J5" s="14" t="s">
        <v>56</v>
      </c>
    </row>
    <row r="6" customFormat="false" ht="15" hidden="false" customHeight="false" outlineLevel="0" collapsed="false">
      <c r="A6" s="14" t="n">
        <v>5</v>
      </c>
      <c r="B6" s="15" t="s">
        <v>57</v>
      </c>
      <c r="C6" s="15" t="s">
        <v>58</v>
      </c>
      <c r="D6" s="15" t="s">
        <v>59</v>
      </c>
      <c r="E6" s="15" t="s">
        <v>11</v>
      </c>
      <c r="F6" s="15" t="s">
        <v>60</v>
      </c>
      <c r="G6" s="16" t="n">
        <v>4.8</v>
      </c>
      <c r="H6" s="17" t="n">
        <v>33209</v>
      </c>
      <c r="I6" s="14" t="s">
        <v>61</v>
      </c>
      <c r="J6" s="14" t="s">
        <v>46</v>
      </c>
    </row>
    <row r="7" customFormat="false" ht="15" hidden="false" customHeight="false" outlineLevel="0" collapsed="false">
      <c r="A7" s="14" t="n">
        <v>6</v>
      </c>
      <c r="B7" s="15" t="s">
        <v>62</v>
      </c>
      <c r="C7" s="15" t="s">
        <v>42</v>
      </c>
      <c r="D7" s="15" t="s">
        <v>59</v>
      </c>
      <c r="E7" s="15" t="s">
        <v>11</v>
      </c>
      <c r="F7" s="15" t="s">
        <v>63</v>
      </c>
      <c r="G7" s="16" t="n">
        <v>4.9</v>
      </c>
      <c r="H7" s="17" t="n">
        <v>390</v>
      </c>
      <c r="I7" s="14" t="s">
        <v>55</v>
      </c>
      <c r="J7" s="14" t="s">
        <v>56</v>
      </c>
    </row>
    <row r="8" customFormat="false" ht="15" hidden="false" customHeight="false" outlineLevel="0" collapsed="false">
      <c r="A8" s="14" t="n">
        <v>7</v>
      </c>
      <c r="B8" s="15" t="s">
        <v>64</v>
      </c>
      <c r="C8" s="15" t="s">
        <v>58</v>
      </c>
      <c r="D8" s="15" t="s">
        <v>59</v>
      </c>
      <c r="E8" s="15" t="s">
        <v>11</v>
      </c>
      <c r="F8" s="15" t="s">
        <v>65</v>
      </c>
      <c r="G8" s="16" t="n">
        <v>4.8</v>
      </c>
      <c r="H8" s="17" t="n">
        <v>504</v>
      </c>
      <c r="I8" s="14" t="s">
        <v>61</v>
      </c>
      <c r="J8" s="14" t="s">
        <v>46</v>
      </c>
    </row>
    <row r="9" customFormat="false" ht="15" hidden="false" customHeight="false" outlineLevel="0" collapsed="false">
      <c r="A9" s="14" t="n">
        <v>8</v>
      </c>
      <c r="B9" s="15" t="s">
        <v>66</v>
      </c>
      <c r="C9" s="15" t="s">
        <v>42</v>
      </c>
      <c r="D9" s="15" t="s">
        <v>59</v>
      </c>
      <c r="E9" s="15" t="s">
        <v>11</v>
      </c>
      <c r="F9" s="15" t="s">
        <v>67</v>
      </c>
      <c r="G9" s="16" t="n">
        <v>4.8</v>
      </c>
      <c r="H9" s="17" t="n">
        <v>330</v>
      </c>
      <c r="I9" s="14" t="s">
        <v>55</v>
      </c>
      <c r="J9" s="14" t="s">
        <v>46</v>
      </c>
    </row>
    <row r="10" customFormat="false" ht="15" hidden="false" customHeight="false" outlineLevel="0" collapsed="false">
      <c r="A10" s="14" t="n">
        <v>9</v>
      </c>
      <c r="B10" s="15" t="s">
        <v>68</v>
      </c>
      <c r="C10" s="15" t="s">
        <v>58</v>
      </c>
      <c r="D10" s="15" t="s">
        <v>59</v>
      </c>
      <c r="E10" s="15" t="s">
        <v>11</v>
      </c>
      <c r="F10" s="15" t="s">
        <v>69</v>
      </c>
      <c r="G10" s="16" t="n">
        <v>4.3</v>
      </c>
      <c r="H10" s="17" t="n">
        <v>3709</v>
      </c>
      <c r="I10" s="14" t="s">
        <v>55</v>
      </c>
      <c r="J10" s="14" t="s">
        <v>46</v>
      </c>
    </row>
    <row r="11" customFormat="false" ht="15" hidden="false" customHeight="false" outlineLevel="0" collapsed="false">
      <c r="A11" s="14" t="n">
        <v>10</v>
      </c>
      <c r="B11" s="15" t="s">
        <v>70</v>
      </c>
      <c r="C11" s="15" t="s">
        <v>42</v>
      </c>
      <c r="D11" s="15" t="s">
        <v>59</v>
      </c>
      <c r="E11" s="15" t="s">
        <v>11</v>
      </c>
      <c r="F11" s="15" t="s">
        <v>71</v>
      </c>
      <c r="G11" s="16" t="n">
        <v>4.9</v>
      </c>
      <c r="H11" s="17" t="n">
        <v>801</v>
      </c>
      <c r="I11" s="14" t="s">
        <v>55</v>
      </c>
      <c r="J11" s="14" t="s">
        <v>46</v>
      </c>
    </row>
    <row r="12" customFormat="false" ht="15" hidden="false" customHeight="false" outlineLevel="0" collapsed="false">
      <c r="A12" s="14" t="n">
        <v>11</v>
      </c>
      <c r="B12" s="15" t="s">
        <v>72</v>
      </c>
      <c r="C12" s="15" t="s">
        <v>42</v>
      </c>
      <c r="D12" s="15" t="s">
        <v>73</v>
      </c>
      <c r="E12" s="15" t="s">
        <v>11</v>
      </c>
      <c r="F12" s="15" t="s">
        <v>74</v>
      </c>
      <c r="G12" s="16" t="n">
        <v>4.4</v>
      </c>
      <c r="H12" s="17" t="n">
        <v>420</v>
      </c>
      <c r="I12" s="14" t="s">
        <v>61</v>
      </c>
      <c r="J12" s="14" t="s">
        <v>56</v>
      </c>
    </row>
    <row r="13" customFormat="false" ht="15" hidden="false" customHeight="false" outlineLevel="0" collapsed="false">
      <c r="A13" s="14" t="n">
        <v>12</v>
      </c>
      <c r="B13" s="15" t="s">
        <v>75</v>
      </c>
      <c r="C13" s="15" t="s">
        <v>58</v>
      </c>
      <c r="D13" s="15" t="s">
        <v>73</v>
      </c>
      <c r="E13" s="15" t="s">
        <v>11</v>
      </c>
      <c r="F13" s="15" t="s">
        <v>76</v>
      </c>
      <c r="G13" s="16" t="n">
        <v>4.8</v>
      </c>
      <c r="H13" s="17" t="n">
        <v>2259</v>
      </c>
      <c r="I13" s="14" t="s">
        <v>61</v>
      </c>
      <c r="J13" s="14" t="s">
        <v>46</v>
      </c>
    </row>
    <row r="14" customFormat="false" ht="15" hidden="false" customHeight="false" outlineLevel="0" collapsed="false">
      <c r="A14" s="14" t="n">
        <v>13</v>
      </c>
      <c r="B14" s="15" t="s">
        <v>77</v>
      </c>
      <c r="C14" s="15" t="s">
        <v>58</v>
      </c>
      <c r="D14" s="15" t="s">
        <v>78</v>
      </c>
      <c r="E14" s="15" t="s">
        <v>11</v>
      </c>
      <c r="F14" s="15" t="s">
        <v>79</v>
      </c>
      <c r="G14" s="16" t="n">
        <v>4.8</v>
      </c>
      <c r="H14" s="17" t="n">
        <v>19984</v>
      </c>
      <c r="I14" s="14" t="s">
        <v>61</v>
      </c>
      <c r="J14" s="14" t="s">
        <v>46</v>
      </c>
    </row>
    <row r="15" customFormat="false" ht="15" hidden="false" customHeight="false" outlineLevel="0" collapsed="false">
      <c r="A15" s="14" t="n">
        <v>14</v>
      </c>
      <c r="B15" s="15" t="s">
        <v>80</v>
      </c>
      <c r="C15" s="15" t="s">
        <v>52</v>
      </c>
      <c r="D15" s="15" t="s">
        <v>78</v>
      </c>
      <c r="E15" s="15" t="s">
        <v>11</v>
      </c>
      <c r="F15" s="15" t="s">
        <v>81</v>
      </c>
      <c r="G15" s="16" t="n">
        <v>3.7</v>
      </c>
      <c r="H15" s="17" t="n">
        <v>557</v>
      </c>
      <c r="I15" s="14" t="s">
        <v>55</v>
      </c>
      <c r="J15" s="14" t="s">
        <v>46</v>
      </c>
    </row>
    <row r="16" customFormat="false" ht="15" hidden="false" customHeight="false" outlineLevel="0" collapsed="false">
      <c r="A16" s="14" t="n">
        <v>15</v>
      </c>
      <c r="B16" s="15" t="s">
        <v>82</v>
      </c>
      <c r="C16" s="15" t="s">
        <v>58</v>
      </c>
      <c r="D16" s="15" t="s">
        <v>83</v>
      </c>
      <c r="E16" s="15" t="s">
        <v>11</v>
      </c>
      <c r="F16" s="15" t="s">
        <v>84</v>
      </c>
      <c r="G16" s="16" t="n">
        <v>4.4</v>
      </c>
      <c r="H16" s="17" t="n">
        <v>248</v>
      </c>
      <c r="I16" s="14" t="s">
        <v>55</v>
      </c>
      <c r="J16" s="14" t="s">
        <v>46</v>
      </c>
    </row>
    <row r="17" customFormat="false" ht="15" hidden="false" customHeight="false" outlineLevel="0" collapsed="false">
      <c r="A17" s="14" t="n">
        <v>16</v>
      </c>
      <c r="B17" s="15" t="s">
        <v>85</v>
      </c>
      <c r="C17" s="15" t="s">
        <v>42</v>
      </c>
      <c r="D17" s="15" t="s">
        <v>86</v>
      </c>
      <c r="E17" s="15" t="s">
        <v>11</v>
      </c>
      <c r="F17" s="15" t="s">
        <v>87</v>
      </c>
      <c r="G17" s="16" t="n">
        <v>4.1</v>
      </c>
      <c r="H17" s="17" t="n">
        <v>440</v>
      </c>
      <c r="I17" s="14" t="s">
        <v>55</v>
      </c>
      <c r="J17" s="14" t="s">
        <v>56</v>
      </c>
    </row>
    <row r="18" customFormat="false" ht="15" hidden="false" customHeight="false" outlineLevel="0" collapsed="false">
      <c r="A18" s="14" t="n">
        <v>17</v>
      </c>
      <c r="B18" s="15" t="s">
        <v>88</v>
      </c>
      <c r="C18" s="15" t="s">
        <v>52</v>
      </c>
      <c r="D18" s="15" t="s">
        <v>89</v>
      </c>
      <c r="E18" s="15" t="s">
        <v>11</v>
      </c>
      <c r="F18" s="15" t="s">
        <v>90</v>
      </c>
      <c r="G18" s="16" t="n">
        <v>4.2</v>
      </c>
      <c r="H18" s="17" t="n">
        <v>4408</v>
      </c>
      <c r="I18" s="14" t="s">
        <v>55</v>
      </c>
      <c r="J18" s="14" t="s">
        <v>56</v>
      </c>
    </row>
    <row r="19" customFormat="false" ht="15" hidden="false" customHeight="false" outlineLevel="0" collapsed="false">
      <c r="A19" s="14" t="n">
        <v>18</v>
      </c>
      <c r="B19" s="15" t="s">
        <v>91</v>
      </c>
      <c r="C19" s="15" t="s">
        <v>42</v>
      </c>
      <c r="D19" s="15" t="s">
        <v>89</v>
      </c>
      <c r="E19" s="15" t="s">
        <v>11</v>
      </c>
      <c r="F19" s="15" t="s">
        <v>92</v>
      </c>
      <c r="G19" s="16" t="n">
        <v>3.9</v>
      </c>
      <c r="H19" s="17" t="n">
        <v>6569</v>
      </c>
      <c r="I19" s="14" t="s">
        <v>55</v>
      </c>
      <c r="J19" s="14" t="s">
        <v>56</v>
      </c>
    </row>
    <row r="20" customFormat="false" ht="15" hidden="false" customHeight="false" outlineLevel="0" collapsed="false">
      <c r="A20" s="14" t="n">
        <v>19</v>
      </c>
      <c r="B20" s="15" t="s">
        <v>93</v>
      </c>
      <c r="C20" s="15" t="s">
        <v>52</v>
      </c>
      <c r="D20" s="15" t="s">
        <v>89</v>
      </c>
      <c r="E20" s="15" t="s">
        <v>11</v>
      </c>
      <c r="F20" s="15" t="s">
        <v>94</v>
      </c>
      <c r="G20" s="16" t="n">
        <v>3.6</v>
      </c>
      <c r="H20" s="17" t="n">
        <v>222</v>
      </c>
      <c r="I20" s="14" t="s">
        <v>55</v>
      </c>
      <c r="J20" s="14" t="s">
        <v>46</v>
      </c>
    </row>
    <row r="21" customFormat="false" ht="15" hidden="false" customHeight="false" outlineLevel="0" collapsed="false">
      <c r="A21" s="14" t="n">
        <v>20</v>
      </c>
      <c r="B21" s="15" t="s">
        <v>95</v>
      </c>
      <c r="C21" s="15" t="s">
        <v>52</v>
      </c>
      <c r="D21" s="15" t="s">
        <v>89</v>
      </c>
      <c r="E21" s="15" t="s">
        <v>11</v>
      </c>
      <c r="F21" s="15" t="s">
        <v>96</v>
      </c>
      <c r="G21" s="16" t="n">
        <v>3.4</v>
      </c>
      <c r="H21" s="17" t="n">
        <v>10</v>
      </c>
      <c r="I21" s="14" t="s">
        <v>55</v>
      </c>
      <c r="J21" s="14" t="s">
        <v>56</v>
      </c>
    </row>
    <row r="22" customFormat="false" ht="15" hidden="false" customHeight="false" outlineLevel="0" collapsed="false">
      <c r="A22" s="14" t="n">
        <v>21</v>
      </c>
      <c r="B22" s="15" t="s">
        <v>97</v>
      </c>
      <c r="C22" s="15" t="s">
        <v>52</v>
      </c>
      <c r="D22" s="15" t="s">
        <v>89</v>
      </c>
      <c r="E22" s="15" t="s">
        <v>11</v>
      </c>
      <c r="F22" s="15" t="s">
        <v>98</v>
      </c>
      <c r="G22" s="16" t="n">
        <v>3.7</v>
      </c>
      <c r="H22" s="17" t="n">
        <v>163</v>
      </c>
      <c r="I22" s="14" t="s">
        <v>55</v>
      </c>
      <c r="J22" s="14" t="s">
        <v>56</v>
      </c>
    </row>
    <row r="23" customFormat="false" ht="15" hidden="false" customHeight="false" outlineLevel="0" collapsed="false">
      <c r="A23" s="14" t="n">
        <v>22</v>
      </c>
      <c r="B23" s="15" t="s">
        <v>99</v>
      </c>
      <c r="C23" s="15" t="s">
        <v>52</v>
      </c>
      <c r="D23" s="15" t="s">
        <v>89</v>
      </c>
      <c r="E23" s="15" t="s">
        <v>11</v>
      </c>
      <c r="F23" s="15" t="s">
        <v>100</v>
      </c>
      <c r="G23" s="16" t="n">
        <v>3.5</v>
      </c>
      <c r="H23" s="17" t="n">
        <v>122</v>
      </c>
      <c r="I23" s="14" t="s">
        <v>55</v>
      </c>
      <c r="J23" s="14" t="s">
        <v>46</v>
      </c>
    </row>
    <row r="24" customFormat="false" ht="15" hidden="false" customHeight="false" outlineLevel="0" collapsed="false">
      <c r="A24" s="14" t="n">
        <v>23</v>
      </c>
      <c r="B24" s="15" t="s">
        <v>101</v>
      </c>
      <c r="C24" s="15" t="s">
        <v>58</v>
      </c>
      <c r="D24" s="15" t="s">
        <v>89</v>
      </c>
      <c r="E24" s="15" t="s">
        <v>11</v>
      </c>
      <c r="F24" s="15" t="s">
        <v>102</v>
      </c>
      <c r="G24" s="16" t="n">
        <v>4.4</v>
      </c>
      <c r="H24" s="17" t="n">
        <v>2803</v>
      </c>
      <c r="I24" s="14" t="s">
        <v>55</v>
      </c>
      <c r="J24" s="14" t="s">
        <v>46</v>
      </c>
    </row>
    <row r="25" customFormat="false" ht="15" hidden="false" customHeight="false" outlineLevel="0" collapsed="false">
      <c r="A25" s="14" t="n">
        <v>24</v>
      </c>
      <c r="B25" s="15" t="s">
        <v>103</v>
      </c>
      <c r="C25" s="15" t="s">
        <v>42</v>
      </c>
      <c r="D25" s="15" t="s">
        <v>89</v>
      </c>
      <c r="E25" s="15" t="s">
        <v>11</v>
      </c>
      <c r="F25" s="15" t="s">
        <v>104</v>
      </c>
      <c r="G25" s="16" t="n">
        <v>4</v>
      </c>
      <c r="H25" s="17" t="n">
        <v>3270</v>
      </c>
      <c r="I25" s="14" t="s">
        <v>55</v>
      </c>
      <c r="J25" s="14" t="s">
        <v>46</v>
      </c>
    </row>
    <row r="26" customFormat="false" ht="15" hidden="false" customHeight="false" outlineLevel="0" collapsed="false">
      <c r="A26" s="14" t="n">
        <v>25</v>
      </c>
      <c r="B26" s="15" t="s">
        <v>105</v>
      </c>
      <c r="C26" s="15" t="s">
        <v>58</v>
      </c>
      <c r="D26" s="15" t="s">
        <v>89</v>
      </c>
      <c r="E26" s="15" t="s">
        <v>11</v>
      </c>
      <c r="F26" s="15" t="s">
        <v>106</v>
      </c>
      <c r="G26" s="16" t="n">
        <v>3.9</v>
      </c>
      <c r="H26" s="17" t="n">
        <v>1574</v>
      </c>
      <c r="I26" s="14" t="s">
        <v>55</v>
      </c>
      <c r="J26" s="14" t="s">
        <v>56</v>
      </c>
    </row>
    <row r="27" customFormat="false" ht="15" hidden="false" customHeight="false" outlineLevel="0" collapsed="false">
      <c r="A27" s="14" t="n">
        <v>26</v>
      </c>
      <c r="B27" s="15" t="s">
        <v>107</v>
      </c>
      <c r="C27" s="15" t="s">
        <v>58</v>
      </c>
      <c r="D27" s="15" t="s">
        <v>89</v>
      </c>
      <c r="E27" s="15" t="s">
        <v>11</v>
      </c>
      <c r="F27" s="15" t="s">
        <v>108</v>
      </c>
      <c r="G27" s="16" t="n">
        <v>4.2</v>
      </c>
      <c r="H27" s="17" t="n">
        <v>6559</v>
      </c>
      <c r="I27" s="14" t="s">
        <v>55</v>
      </c>
      <c r="J27" s="14" t="s">
        <v>46</v>
      </c>
    </row>
    <row r="28" customFormat="false" ht="15" hidden="false" customHeight="false" outlineLevel="0" collapsed="false">
      <c r="A28" s="14" t="n">
        <v>27</v>
      </c>
      <c r="B28" s="15" t="s">
        <v>109</v>
      </c>
      <c r="C28" s="15" t="s">
        <v>42</v>
      </c>
      <c r="D28" s="15" t="s">
        <v>110</v>
      </c>
      <c r="E28" s="15" t="s">
        <v>11</v>
      </c>
      <c r="F28" s="15" t="s">
        <v>111</v>
      </c>
      <c r="G28" s="16" t="n">
        <v>4.9</v>
      </c>
      <c r="H28" s="17" t="n">
        <v>391</v>
      </c>
      <c r="I28" s="14" t="s">
        <v>61</v>
      </c>
      <c r="J28" s="14" t="s">
        <v>46</v>
      </c>
    </row>
    <row r="29" customFormat="false" ht="15" hidden="false" customHeight="false" outlineLevel="0" collapsed="false">
      <c r="A29" s="14" t="n">
        <v>28</v>
      </c>
      <c r="B29" s="15" t="s">
        <v>112</v>
      </c>
      <c r="C29" s="15" t="s">
        <v>52</v>
      </c>
      <c r="D29" s="15" t="s">
        <v>113</v>
      </c>
      <c r="E29" s="15" t="s">
        <v>11</v>
      </c>
      <c r="F29" s="15" t="s">
        <v>114</v>
      </c>
      <c r="G29" s="16" t="n">
        <v>3.8</v>
      </c>
      <c r="H29" s="17" t="n">
        <v>963</v>
      </c>
      <c r="I29" s="14" t="s">
        <v>55</v>
      </c>
      <c r="J29" s="14" t="s">
        <v>46</v>
      </c>
    </row>
    <row r="30" customFormat="false" ht="15" hidden="false" customHeight="false" outlineLevel="0" collapsed="false">
      <c r="A30" s="14" t="n">
        <v>29</v>
      </c>
      <c r="B30" s="15" t="s">
        <v>115</v>
      </c>
      <c r="C30" s="15" t="s">
        <v>52</v>
      </c>
      <c r="D30" s="15" t="s">
        <v>116</v>
      </c>
      <c r="E30" s="15" t="s">
        <v>11</v>
      </c>
      <c r="F30" s="15" t="s">
        <v>117</v>
      </c>
      <c r="G30" s="16" t="n">
        <v>4.4</v>
      </c>
      <c r="H30" s="17" t="n">
        <v>13</v>
      </c>
      <c r="I30" s="14" t="s">
        <v>55</v>
      </c>
      <c r="J30" s="14" t="s">
        <v>56</v>
      </c>
    </row>
    <row r="31" customFormat="false" ht="15" hidden="false" customHeight="false" outlineLevel="0" collapsed="false">
      <c r="A31" s="14" t="n">
        <v>30</v>
      </c>
      <c r="B31" s="15" t="s">
        <v>118</v>
      </c>
      <c r="C31" s="15" t="s">
        <v>52</v>
      </c>
      <c r="D31" s="15" t="s">
        <v>116</v>
      </c>
      <c r="E31" s="15" t="s">
        <v>11</v>
      </c>
      <c r="F31" s="15" t="s">
        <v>119</v>
      </c>
      <c r="G31" s="16" t="n">
        <v>4.3</v>
      </c>
      <c r="H31" s="17" t="n">
        <v>23</v>
      </c>
      <c r="I31" s="14" t="s">
        <v>55</v>
      </c>
      <c r="J31" s="14" t="s">
        <v>46</v>
      </c>
    </row>
    <row r="32" customFormat="false" ht="15" hidden="false" customHeight="false" outlineLevel="0" collapsed="false">
      <c r="A32" s="14" t="n">
        <v>31</v>
      </c>
      <c r="B32" s="15" t="s">
        <v>120</v>
      </c>
      <c r="C32" s="15" t="s">
        <v>52</v>
      </c>
      <c r="D32" s="15" t="s">
        <v>116</v>
      </c>
      <c r="E32" s="15" t="s">
        <v>11</v>
      </c>
      <c r="F32" s="15" t="s">
        <v>121</v>
      </c>
      <c r="G32" s="16" t="n">
        <v>3.8</v>
      </c>
      <c r="H32" s="17" t="n">
        <v>91</v>
      </c>
      <c r="I32" s="14" t="s">
        <v>55</v>
      </c>
      <c r="J32" s="14" t="s">
        <v>56</v>
      </c>
    </row>
    <row r="33" customFormat="false" ht="15" hidden="false" customHeight="false" outlineLevel="0" collapsed="false">
      <c r="A33" s="14" t="n">
        <v>32</v>
      </c>
      <c r="B33" s="15" t="s">
        <v>122</v>
      </c>
      <c r="C33" s="15" t="s">
        <v>58</v>
      </c>
      <c r="D33" s="15" t="s">
        <v>116</v>
      </c>
      <c r="E33" s="15" t="s">
        <v>11</v>
      </c>
      <c r="F33" s="15" t="s">
        <v>123</v>
      </c>
      <c r="G33" s="16" t="n">
        <v>4.6</v>
      </c>
      <c r="H33" s="17" t="n">
        <v>2805</v>
      </c>
      <c r="I33" s="14" t="s">
        <v>55</v>
      </c>
      <c r="J33" s="14" t="s">
        <v>46</v>
      </c>
    </row>
    <row r="34" customFormat="false" ht="15" hidden="false" customHeight="false" outlineLevel="0" collapsed="false">
      <c r="A34" s="14" t="n">
        <v>33</v>
      </c>
      <c r="B34" s="15" t="s">
        <v>124</v>
      </c>
      <c r="C34" s="15" t="s">
        <v>42</v>
      </c>
      <c r="D34" s="15" t="s">
        <v>125</v>
      </c>
      <c r="E34" s="15" t="s">
        <v>11</v>
      </c>
      <c r="F34" s="15" t="s">
        <v>126</v>
      </c>
      <c r="G34" s="16" t="n">
        <v>4.1</v>
      </c>
      <c r="H34" s="17" t="n">
        <v>1381</v>
      </c>
      <c r="I34" s="14" t="s">
        <v>127</v>
      </c>
      <c r="J34" s="14" t="s">
        <v>46</v>
      </c>
    </row>
    <row r="35" customFormat="false" ht="15" hidden="false" customHeight="false" outlineLevel="0" collapsed="false">
      <c r="A35" s="14" t="n">
        <v>34</v>
      </c>
      <c r="B35" s="15" t="s">
        <v>128</v>
      </c>
      <c r="C35" s="15" t="s">
        <v>42</v>
      </c>
      <c r="D35" s="15" t="s">
        <v>125</v>
      </c>
      <c r="E35" s="15" t="s">
        <v>11</v>
      </c>
      <c r="F35" s="15" t="s">
        <v>129</v>
      </c>
      <c r="G35" s="16" t="n">
        <v>4.9</v>
      </c>
      <c r="H35" s="17" t="n">
        <v>186</v>
      </c>
      <c r="I35" s="14" t="s">
        <v>61</v>
      </c>
      <c r="J35" s="14" t="s">
        <v>46</v>
      </c>
    </row>
    <row r="36" customFormat="false" ht="15" hidden="false" customHeight="false" outlineLevel="0" collapsed="false">
      <c r="A36" s="14" t="n">
        <v>35</v>
      </c>
      <c r="B36" s="15" t="s">
        <v>130</v>
      </c>
      <c r="C36" s="15" t="s">
        <v>42</v>
      </c>
      <c r="D36" s="15" t="s">
        <v>125</v>
      </c>
      <c r="E36" s="15" t="s">
        <v>11</v>
      </c>
      <c r="F36" s="15" t="s">
        <v>131</v>
      </c>
      <c r="G36" s="16" t="n">
        <v>4.4</v>
      </c>
      <c r="H36" s="17" t="n">
        <v>1178</v>
      </c>
      <c r="I36" s="14" t="s">
        <v>61</v>
      </c>
      <c r="J36" s="14" t="s">
        <v>46</v>
      </c>
    </row>
    <row r="37" customFormat="false" ht="15" hidden="false" customHeight="false" outlineLevel="0" collapsed="false">
      <c r="A37" s="14" t="n">
        <v>36</v>
      </c>
      <c r="B37" s="15" t="s">
        <v>132</v>
      </c>
      <c r="C37" s="15" t="s">
        <v>52</v>
      </c>
      <c r="D37" s="15" t="s">
        <v>125</v>
      </c>
      <c r="E37" s="15" t="s">
        <v>11</v>
      </c>
      <c r="F37" s="15" t="s">
        <v>133</v>
      </c>
      <c r="G37" s="16" t="n">
        <v>4</v>
      </c>
      <c r="H37" s="17" t="n">
        <v>828</v>
      </c>
      <c r="I37" s="14" t="s">
        <v>55</v>
      </c>
      <c r="J37" s="14" t="s">
        <v>46</v>
      </c>
    </row>
    <row r="38" customFormat="false" ht="15" hidden="false" customHeight="false" outlineLevel="0" collapsed="false">
      <c r="A38" s="14" t="n">
        <v>37</v>
      </c>
      <c r="B38" s="15" t="s">
        <v>134</v>
      </c>
      <c r="C38" s="15" t="s">
        <v>42</v>
      </c>
      <c r="D38" s="15" t="s">
        <v>125</v>
      </c>
      <c r="E38" s="15" t="s">
        <v>11</v>
      </c>
      <c r="F38" s="15" t="s">
        <v>135</v>
      </c>
      <c r="G38" s="16" t="n">
        <v>4.8</v>
      </c>
      <c r="H38" s="17" t="n">
        <v>218</v>
      </c>
      <c r="I38" s="14" t="s">
        <v>55</v>
      </c>
      <c r="J38" s="14" t="s">
        <v>46</v>
      </c>
    </row>
    <row r="39" customFormat="false" ht="15" hidden="false" customHeight="false" outlineLevel="0" collapsed="false">
      <c r="A39" s="14" t="n">
        <v>38</v>
      </c>
      <c r="B39" s="15" t="s">
        <v>136</v>
      </c>
      <c r="C39" s="15" t="s">
        <v>58</v>
      </c>
      <c r="D39" s="15" t="s">
        <v>125</v>
      </c>
      <c r="E39" s="15" t="s">
        <v>11</v>
      </c>
      <c r="F39" s="15" t="s">
        <v>137</v>
      </c>
      <c r="G39" s="16" t="n">
        <v>4</v>
      </c>
      <c r="H39" s="17" t="n">
        <v>1354</v>
      </c>
      <c r="I39" s="14" t="s">
        <v>61</v>
      </c>
      <c r="J39" s="14" t="s">
        <v>56</v>
      </c>
    </row>
    <row r="40" customFormat="false" ht="15" hidden="false" customHeight="false" outlineLevel="0" collapsed="false">
      <c r="A40" s="14" t="n">
        <v>39</v>
      </c>
      <c r="B40" s="15" t="s">
        <v>138</v>
      </c>
      <c r="C40" s="15" t="s">
        <v>58</v>
      </c>
      <c r="D40" s="15" t="s">
        <v>139</v>
      </c>
      <c r="E40" s="15" t="s">
        <v>11</v>
      </c>
      <c r="F40" s="15" t="s">
        <v>140</v>
      </c>
      <c r="G40" s="16" t="n">
        <v>4</v>
      </c>
      <c r="H40" s="17" t="n">
        <v>2351</v>
      </c>
      <c r="I40" s="14" t="s">
        <v>55</v>
      </c>
      <c r="J40" s="14" t="s">
        <v>56</v>
      </c>
    </row>
    <row r="41" customFormat="false" ht="15" hidden="false" customHeight="false" outlineLevel="0" collapsed="false">
      <c r="A41" s="14" t="n">
        <v>40</v>
      </c>
      <c r="B41" s="15" t="s">
        <v>141</v>
      </c>
      <c r="C41" s="15" t="s">
        <v>58</v>
      </c>
      <c r="D41" s="15" t="s">
        <v>139</v>
      </c>
      <c r="E41" s="15" t="s">
        <v>11</v>
      </c>
      <c r="F41" s="15" t="s">
        <v>142</v>
      </c>
      <c r="G41" s="16" t="n">
        <v>3.7</v>
      </c>
      <c r="H41" s="17" t="n">
        <v>286</v>
      </c>
      <c r="I41" s="14" t="s">
        <v>55</v>
      </c>
      <c r="J41" s="14" t="s">
        <v>56</v>
      </c>
    </row>
    <row r="42" customFormat="false" ht="15" hidden="false" customHeight="false" outlineLevel="0" collapsed="false">
      <c r="A42" s="14" t="n">
        <v>41</v>
      </c>
      <c r="B42" s="15" t="s">
        <v>143</v>
      </c>
      <c r="C42" s="15" t="s">
        <v>58</v>
      </c>
      <c r="D42" s="15" t="s">
        <v>144</v>
      </c>
      <c r="E42" s="15" t="s">
        <v>11</v>
      </c>
      <c r="F42" s="15" t="s">
        <v>145</v>
      </c>
      <c r="G42" s="16" t="n">
        <v>4</v>
      </c>
      <c r="H42" s="17" t="n">
        <v>414</v>
      </c>
      <c r="I42" s="14" t="s">
        <v>55</v>
      </c>
      <c r="J42" s="14" t="s">
        <v>56</v>
      </c>
    </row>
    <row r="43" customFormat="false" ht="15" hidden="false" customHeight="false" outlineLevel="0" collapsed="false">
      <c r="A43" s="14" t="n">
        <v>42</v>
      </c>
      <c r="B43" s="15" t="s">
        <v>146</v>
      </c>
      <c r="C43" s="15" t="s">
        <v>52</v>
      </c>
      <c r="D43" s="15" t="s">
        <v>144</v>
      </c>
      <c r="E43" s="15" t="s">
        <v>11</v>
      </c>
      <c r="F43" s="15" t="s">
        <v>147</v>
      </c>
      <c r="G43" s="16" t="n">
        <v>4</v>
      </c>
      <c r="H43" s="17" t="n">
        <v>91</v>
      </c>
      <c r="I43" s="14" t="s">
        <v>55</v>
      </c>
      <c r="J43" s="14" t="s">
        <v>46</v>
      </c>
    </row>
    <row r="44" customFormat="false" ht="15" hidden="false" customHeight="false" outlineLevel="0" collapsed="false">
      <c r="A44" s="14" t="n">
        <v>43</v>
      </c>
      <c r="B44" s="15" t="s">
        <v>148</v>
      </c>
      <c r="C44" s="15" t="s">
        <v>52</v>
      </c>
      <c r="D44" s="15" t="s">
        <v>144</v>
      </c>
      <c r="E44" s="15" t="s">
        <v>11</v>
      </c>
      <c r="F44" s="15" t="s">
        <v>149</v>
      </c>
      <c r="G44" s="16" t="n">
        <v>3.9</v>
      </c>
      <c r="H44" s="17" t="n">
        <v>153</v>
      </c>
      <c r="I44" s="14" t="s">
        <v>55</v>
      </c>
      <c r="J44" s="14" t="s">
        <v>56</v>
      </c>
    </row>
    <row r="45" customFormat="false" ht="15" hidden="false" customHeight="false" outlineLevel="0" collapsed="false">
      <c r="A45" s="14" t="n">
        <v>44</v>
      </c>
      <c r="B45" s="15" t="s">
        <v>150</v>
      </c>
      <c r="C45" s="15" t="s">
        <v>42</v>
      </c>
      <c r="D45" s="15" t="s">
        <v>151</v>
      </c>
      <c r="E45" s="15" t="s">
        <v>11</v>
      </c>
      <c r="F45" s="15" t="s">
        <v>152</v>
      </c>
      <c r="G45" s="16" t="n">
        <v>3.4</v>
      </c>
      <c r="H45" s="17" t="n">
        <v>3088</v>
      </c>
      <c r="I45" s="14" t="s">
        <v>55</v>
      </c>
      <c r="J45" s="14" t="s">
        <v>56</v>
      </c>
    </row>
    <row r="46" customFormat="false" ht="15" hidden="false" customHeight="false" outlineLevel="0" collapsed="false">
      <c r="A46" s="14" t="n">
        <v>45</v>
      </c>
      <c r="B46" s="15" t="s">
        <v>153</v>
      </c>
      <c r="C46" s="15" t="s">
        <v>42</v>
      </c>
      <c r="D46" s="15" t="s">
        <v>154</v>
      </c>
      <c r="E46" s="15" t="s">
        <v>11</v>
      </c>
      <c r="F46" s="15" t="s">
        <v>155</v>
      </c>
      <c r="G46" s="16" t="n">
        <v>3.7</v>
      </c>
      <c r="H46" s="17" t="n">
        <v>139</v>
      </c>
      <c r="I46" s="14" t="s">
        <v>55</v>
      </c>
      <c r="J46" s="14" t="s">
        <v>56</v>
      </c>
    </row>
    <row r="47" customFormat="false" ht="15" hidden="false" customHeight="false" outlineLevel="0" collapsed="false">
      <c r="A47" s="14" t="n">
        <v>46</v>
      </c>
      <c r="B47" s="15" t="s">
        <v>156</v>
      </c>
      <c r="C47" s="15" t="s">
        <v>42</v>
      </c>
      <c r="D47" s="15" t="s">
        <v>154</v>
      </c>
      <c r="E47" s="15" t="s">
        <v>11</v>
      </c>
      <c r="F47" s="15" t="s">
        <v>157</v>
      </c>
      <c r="G47" s="16" t="n">
        <v>3.7</v>
      </c>
      <c r="H47" s="17" t="n">
        <v>1658</v>
      </c>
      <c r="I47" s="14" t="s">
        <v>55</v>
      </c>
      <c r="J47" s="14" t="s">
        <v>56</v>
      </c>
    </row>
    <row r="48" customFormat="false" ht="15" hidden="false" customHeight="false" outlineLevel="0" collapsed="false">
      <c r="A48" s="14" t="n">
        <v>47</v>
      </c>
      <c r="B48" s="15" t="s">
        <v>158</v>
      </c>
      <c r="C48" s="15" t="s">
        <v>58</v>
      </c>
      <c r="D48" s="15" t="s">
        <v>159</v>
      </c>
      <c r="E48" s="15" t="s">
        <v>11</v>
      </c>
      <c r="F48" s="15" t="s">
        <v>160</v>
      </c>
      <c r="G48" s="16" t="n">
        <v>4</v>
      </c>
      <c r="H48" s="17" t="n">
        <v>497</v>
      </c>
      <c r="I48" s="14" t="s">
        <v>55</v>
      </c>
      <c r="J48" s="14" t="s">
        <v>56</v>
      </c>
    </row>
    <row r="49" customFormat="false" ht="15" hidden="false" customHeight="false" outlineLevel="0" collapsed="false">
      <c r="A49" s="14" t="n">
        <v>48</v>
      </c>
      <c r="B49" s="15" t="s">
        <v>161</v>
      </c>
      <c r="C49" s="15" t="s">
        <v>58</v>
      </c>
      <c r="D49" s="15" t="s">
        <v>162</v>
      </c>
      <c r="E49" s="15" t="s">
        <v>11</v>
      </c>
      <c r="F49" s="15" t="s">
        <v>163</v>
      </c>
      <c r="G49" s="16" t="n">
        <v>4.1</v>
      </c>
      <c r="H49" s="17" t="n">
        <v>4397</v>
      </c>
      <c r="I49" s="14" t="s">
        <v>55</v>
      </c>
      <c r="J49" s="14" t="s">
        <v>46</v>
      </c>
    </row>
    <row r="50" customFormat="false" ht="15" hidden="false" customHeight="false" outlineLevel="0" collapsed="false">
      <c r="A50" s="14" t="n">
        <v>49</v>
      </c>
      <c r="B50" s="15" t="s">
        <v>164</v>
      </c>
      <c r="C50" s="15" t="s">
        <v>52</v>
      </c>
      <c r="D50" s="15" t="s">
        <v>165</v>
      </c>
      <c r="E50" s="15" t="s">
        <v>11</v>
      </c>
      <c r="F50" s="15" t="s">
        <v>166</v>
      </c>
      <c r="G50" s="16" t="n">
        <v>4</v>
      </c>
      <c r="H50" s="17" t="n">
        <v>597</v>
      </c>
      <c r="I50" s="14" t="s">
        <v>55</v>
      </c>
      <c r="J50" s="14" t="s">
        <v>56</v>
      </c>
    </row>
    <row r="51" customFormat="false" ht="15" hidden="false" customHeight="false" outlineLevel="0" collapsed="false">
      <c r="A51" s="14" t="n">
        <v>50</v>
      </c>
      <c r="B51" s="15" t="s">
        <v>167</v>
      </c>
      <c r="C51" s="15" t="s">
        <v>52</v>
      </c>
      <c r="D51" s="15" t="s">
        <v>165</v>
      </c>
      <c r="E51" s="15" t="s">
        <v>11</v>
      </c>
      <c r="F51" s="15" t="s">
        <v>168</v>
      </c>
      <c r="G51" s="16" t="n">
        <v>4.1</v>
      </c>
      <c r="H51" s="17" t="n">
        <v>81</v>
      </c>
      <c r="I51" s="14" t="s">
        <v>55</v>
      </c>
      <c r="J51" s="14" t="s">
        <v>56</v>
      </c>
    </row>
    <row r="52" customFormat="false" ht="15" hidden="false" customHeight="false" outlineLevel="0" collapsed="false">
      <c r="A52" s="14" t="n">
        <v>51</v>
      </c>
      <c r="B52" s="15" t="s">
        <v>169</v>
      </c>
      <c r="C52" s="15" t="s">
        <v>42</v>
      </c>
      <c r="D52" s="15" t="s">
        <v>170</v>
      </c>
      <c r="E52" s="15" t="s">
        <v>11</v>
      </c>
      <c r="F52" s="15" t="s">
        <v>171</v>
      </c>
      <c r="G52" s="16" t="n">
        <v>4.5</v>
      </c>
      <c r="H52" s="17" t="n">
        <v>225</v>
      </c>
      <c r="I52" s="14" t="s">
        <v>55</v>
      </c>
      <c r="J52" s="14" t="s">
        <v>46</v>
      </c>
    </row>
    <row r="53" customFormat="false" ht="15" hidden="false" customHeight="false" outlineLevel="0" collapsed="false">
      <c r="A53" s="14" t="n">
        <v>52</v>
      </c>
      <c r="B53" s="15" t="s">
        <v>172</v>
      </c>
      <c r="C53" s="15" t="s">
        <v>42</v>
      </c>
      <c r="D53" s="15" t="s">
        <v>170</v>
      </c>
      <c r="E53" s="15" t="s">
        <v>11</v>
      </c>
      <c r="F53" s="15" t="s">
        <v>173</v>
      </c>
      <c r="G53" s="16" t="n">
        <v>5</v>
      </c>
      <c r="H53" s="17" t="n">
        <v>2</v>
      </c>
      <c r="I53" s="14" t="s">
        <v>127</v>
      </c>
      <c r="J53" s="14" t="s">
        <v>46</v>
      </c>
    </row>
    <row r="54" customFormat="false" ht="15" hidden="false" customHeight="false" outlineLevel="0" collapsed="false">
      <c r="A54" s="14" t="n">
        <v>53</v>
      </c>
      <c r="B54" s="15" t="s">
        <v>174</v>
      </c>
      <c r="C54" s="15" t="s">
        <v>52</v>
      </c>
      <c r="D54" s="15" t="s">
        <v>170</v>
      </c>
      <c r="E54" s="15" t="s">
        <v>11</v>
      </c>
      <c r="F54" s="15" t="s">
        <v>175</v>
      </c>
      <c r="G54" s="16" t="n">
        <v>3.8</v>
      </c>
      <c r="H54" s="17" t="n">
        <v>154</v>
      </c>
      <c r="I54" s="14" t="s">
        <v>55</v>
      </c>
      <c r="J54" s="14" t="s">
        <v>56</v>
      </c>
    </row>
    <row r="55" customFormat="false" ht="15" hidden="false" customHeight="false" outlineLevel="0" collapsed="false">
      <c r="A55" s="14" t="n">
        <v>54</v>
      </c>
      <c r="B55" s="15" t="s">
        <v>176</v>
      </c>
      <c r="C55" s="15" t="s">
        <v>58</v>
      </c>
      <c r="D55" s="15" t="s">
        <v>177</v>
      </c>
      <c r="E55" s="15" t="s">
        <v>11</v>
      </c>
      <c r="F55" s="15" t="s">
        <v>178</v>
      </c>
      <c r="G55" s="16" t="n">
        <v>3.8</v>
      </c>
      <c r="H55" s="17" t="n">
        <v>242</v>
      </c>
      <c r="I55" s="14" t="s">
        <v>55</v>
      </c>
      <c r="J55" s="14" t="s">
        <v>56</v>
      </c>
    </row>
    <row r="56" customFormat="false" ht="15" hidden="false" customHeight="false" outlineLevel="0" collapsed="false">
      <c r="A56" s="14" t="n">
        <v>55</v>
      </c>
      <c r="B56" s="15" t="s">
        <v>179</v>
      </c>
      <c r="C56" s="15" t="s">
        <v>58</v>
      </c>
      <c r="D56" s="15" t="s">
        <v>177</v>
      </c>
      <c r="E56" s="15" t="s">
        <v>11</v>
      </c>
      <c r="F56" s="15" t="s">
        <v>180</v>
      </c>
      <c r="G56" s="16" t="n">
        <v>4.5</v>
      </c>
      <c r="H56" s="17" t="n">
        <v>202</v>
      </c>
      <c r="I56" s="14" t="s">
        <v>55</v>
      </c>
      <c r="J56" s="14" t="s">
        <v>56</v>
      </c>
    </row>
    <row r="57" customFormat="false" ht="15" hidden="false" customHeight="false" outlineLevel="0" collapsed="false">
      <c r="A57" s="14" t="n">
        <v>56</v>
      </c>
      <c r="B57" s="15" t="s">
        <v>181</v>
      </c>
      <c r="C57" s="15" t="s">
        <v>42</v>
      </c>
      <c r="D57" s="15" t="s">
        <v>177</v>
      </c>
      <c r="E57" s="15" t="s">
        <v>11</v>
      </c>
      <c r="F57" s="15" t="s">
        <v>182</v>
      </c>
      <c r="G57" s="16" t="n">
        <v>4.8</v>
      </c>
      <c r="H57" s="17" t="n">
        <v>46</v>
      </c>
      <c r="I57" s="14" t="s">
        <v>55</v>
      </c>
      <c r="J57" s="14" t="s">
        <v>56</v>
      </c>
    </row>
    <row r="58" customFormat="false" ht="15" hidden="false" customHeight="false" outlineLevel="0" collapsed="false">
      <c r="A58" s="14" t="n">
        <v>57</v>
      </c>
      <c r="B58" s="15" t="s">
        <v>183</v>
      </c>
      <c r="C58" s="15" t="s">
        <v>52</v>
      </c>
      <c r="D58" s="15" t="s">
        <v>177</v>
      </c>
      <c r="E58" s="15" t="s">
        <v>11</v>
      </c>
      <c r="F58" s="15" t="s">
        <v>184</v>
      </c>
      <c r="G58" s="16" t="n">
        <v>4.1</v>
      </c>
      <c r="H58" s="17" t="n">
        <v>1615</v>
      </c>
      <c r="I58" s="14" t="s">
        <v>55</v>
      </c>
      <c r="J58" s="14" t="s">
        <v>56</v>
      </c>
    </row>
    <row r="59" customFormat="false" ht="15" hidden="false" customHeight="false" outlineLevel="0" collapsed="false">
      <c r="A59" s="14" t="n">
        <v>58</v>
      </c>
      <c r="B59" s="15" t="s">
        <v>185</v>
      </c>
      <c r="C59" s="15" t="s">
        <v>42</v>
      </c>
      <c r="D59" s="15" t="s">
        <v>177</v>
      </c>
      <c r="E59" s="15" t="s">
        <v>11</v>
      </c>
      <c r="F59" s="15" t="s">
        <v>186</v>
      </c>
      <c r="G59" s="16" t="n">
        <v>3.4</v>
      </c>
      <c r="H59" s="17" t="n">
        <v>135</v>
      </c>
      <c r="I59" s="14" t="s">
        <v>55</v>
      </c>
      <c r="J59" s="14" t="s">
        <v>56</v>
      </c>
    </row>
    <row r="60" customFormat="false" ht="15" hidden="false" customHeight="false" outlineLevel="0" collapsed="false">
      <c r="A60" s="14" t="n">
        <v>59</v>
      </c>
      <c r="B60" s="15" t="s">
        <v>187</v>
      </c>
      <c r="C60" s="15" t="s">
        <v>58</v>
      </c>
      <c r="D60" s="15" t="s">
        <v>177</v>
      </c>
      <c r="E60" s="15" t="s">
        <v>11</v>
      </c>
      <c r="F60" s="15" t="s">
        <v>188</v>
      </c>
      <c r="G60" s="16" t="n">
        <v>4.5</v>
      </c>
      <c r="H60" s="17" t="n">
        <v>536</v>
      </c>
      <c r="I60" s="14" t="s">
        <v>55</v>
      </c>
      <c r="J60" s="14" t="s">
        <v>56</v>
      </c>
    </row>
    <row r="61" customFormat="false" ht="15" hidden="false" customHeight="false" outlineLevel="0" collapsed="false">
      <c r="A61" s="14" t="n">
        <v>60</v>
      </c>
      <c r="B61" s="15" t="s">
        <v>189</v>
      </c>
      <c r="C61" s="15" t="s">
        <v>52</v>
      </c>
      <c r="D61" s="15" t="s">
        <v>177</v>
      </c>
      <c r="E61" s="15" t="s">
        <v>11</v>
      </c>
      <c r="F61" s="15" t="s">
        <v>190</v>
      </c>
      <c r="G61" s="16" t="n">
        <v>4.8</v>
      </c>
      <c r="H61" s="17" t="n">
        <v>36</v>
      </c>
      <c r="I61" s="14" t="s">
        <v>55</v>
      </c>
      <c r="J61" s="14" t="s">
        <v>56</v>
      </c>
    </row>
    <row r="62" customFormat="false" ht="15" hidden="false" customHeight="false" outlineLevel="0" collapsed="false">
      <c r="A62" s="14" t="n">
        <v>61</v>
      </c>
      <c r="B62" s="15" t="s">
        <v>191</v>
      </c>
      <c r="C62" s="15" t="s">
        <v>52</v>
      </c>
      <c r="D62" s="15" t="s">
        <v>192</v>
      </c>
      <c r="E62" s="15" t="s">
        <v>11</v>
      </c>
      <c r="F62" s="15" t="s">
        <v>193</v>
      </c>
      <c r="G62" s="16" t="n">
        <v>4.1</v>
      </c>
      <c r="H62" s="17" t="n">
        <v>1936</v>
      </c>
      <c r="I62" s="14" t="s">
        <v>55</v>
      </c>
      <c r="J62" s="14" t="s">
        <v>46</v>
      </c>
    </row>
    <row r="63" customFormat="false" ht="15" hidden="false" customHeight="false" outlineLevel="0" collapsed="false">
      <c r="A63" s="14" t="n">
        <v>62</v>
      </c>
      <c r="B63" s="15" t="s">
        <v>194</v>
      </c>
      <c r="C63" s="15" t="s">
        <v>42</v>
      </c>
      <c r="D63" s="15" t="s">
        <v>192</v>
      </c>
      <c r="E63" s="15" t="s">
        <v>11</v>
      </c>
      <c r="F63" s="15" t="s">
        <v>195</v>
      </c>
      <c r="G63" s="16" t="n">
        <v>3.9</v>
      </c>
      <c r="H63" s="17" t="n">
        <v>1290</v>
      </c>
      <c r="I63" s="14" t="s">
        <v>55</v>
      </c>
      <c r="J63" s="14" t="s">
        <v>56</v>
      </c>
    </row>
    <row r="64" customFormat="false" ht="15" hidden="false" customHeight="false" outlineLevel="0" collapsed="false">
      <c r="A64" s="14" t="n">
        <v>63</v>
      </c>
      <c r="B64" s="15" t="s">
        <v>196</v>
      </c>
      <c r="C64" s="15" t="s">
        <v>52</v>
      </c>
      <c r="D64" s="15" t="s">
        <v>192</v>
      </c>
      <c r="E64" s="15" t="s">
        <v>11</v>
      </c>
      <c r="F64" s="15" t="s">
        <v>197</v>
      </c>
      <c r="G64" s="16" t="n">
        <v>4.1</v>
      </c>
      <c r="H64" s="17" t="n">
        <v>279</v>
      </c>
      <c r="I64" s="14" t="s">
        <v>55</v>
      </c>
      <c r="J64" s="14" t="s">
        <v>56</v>
      </c>
    </row>
    <row r="65" customFormat="false" ht="15" hidden="false" customHeight="false" outlineLevel="0" collapsed="false">
      <c r="A65" s="14" t="n">
        <v>64</v>
      </c>
      <c r="B65" s="15" t="s">
        <v>198</v>
      </c>
      <c r="C65" s="15" t="s">
        <v>52</v>
      </c>
      <c r="D65" s="15" t="s">
        <v>192</v>
      </c>
      <c r="E65" s="15" t="s">
        <v>11</v>
      </c>
      <c r="F65" s="15" t="s">
        <v>199</v>
      </c>
      <c r="G65" s="16" t="n">
        <v>4</v>
      </c>
      <c r="H65" s="17" t="n">
        <v>251</v>
      </c>
      <c r="I65" s="14" t="s">
        <v>55</v>
      </c>
      <c r="J65" s="14" t="s">
        <v>56</v>
      </c>
    </row>
    <row r="66" customFormat="false" ht="15" hidden="false" customHeight="false" outlineLevel="0" collapsed="false">
      <c r="A66" s="14" t="n">
        <v>65</v>
      </c>
      <c r="B66" s="15" t="s">
        <v>200</v>
      </c>
      <c r="C66" s="15" t="s">
        <v>52</v>
      </c>
      <c r="D66" s="15" t="s">
        <v>201</v>
      </c>
      <c r="E66" s="15" t="s">
        <v>11</v>
      </c>
      <c r="F66" s="15" t="s">
        <v>202</v>
      </c>
      <c r="G66" s="16" t="n">
        <v>3.3</v>
      </c>
      <c r="H66" s="17" t="n">
        <v>129</v>
      </c>
      <c r="I66" s="14" t="s">
        <v>55</v>
      </c>
      <c r="J66" s="14" t="s">
        <v>56</v>
      </c>
    </row>
    <row r="67" customFormat="false" ht="15" hidden="false" customHeight="false" outlineLevel="0" collapsed="false">
      <c r="A67" s="14" t="n">
        <v>66</v>
      </c>
      <c r="B67" s="15" t="s">
        <v>203</v>
      </c>
      <c r="C67" s="15" t="s">
        <v>52</v>
      </c>
      <c r="D67" s="15" t="s">
        <v>201</v>
      </c>
      <c r="E67" s="15" t="s">
        <v>11</v>
      </c>
      <c r="F67" s="15" t="s">
        <v>204</v>
      </c>
      <c r="G67" s="16" t="n">
        <v>4</v>
      </c>
      <c r="H67" s="17" t="n">
        <v>202</v>
      </c>
      <c r="I67" s="14" t="s">
        <v>55</v>
      </c>
      <c r="J67" s="14" t="s">
        <v>56</v>
      </c>
    </row>
    <row r="68" customFormat="false" ht="15" hidden="false" customHeight="false" outlineLevel="0" collapsed="false">
      <c r="A68" s="14" t="n">
        <v>67</v>
      </c>
      <c r="B68" s="15" t="s">
        <v>205</v>
      </c>
      <c r="C68" s="15" t="s">
        <v>58</v>
      </c>
      <c r="D68" s="15" t="s">
        <v>201</v>
      </c>
      <c r="E68" s="15" t="s">
        <v>11</v>
      </c>
      <c r="F68" s="15" t="s">
        <v>206</v>
      </c>
      <c r="G68" s="16" t="n">
        <v>3.7</v>
      </c>
      <c r="H68" s="17" t="n">
        <v>420</v>
      </c>
      <c r="I68" s="14" t="s">
        <v>55</v>
      </c>
      <c r="J68" s="14" t="s">
        <v>56</v>
      </c>
    </row>
    <row r="69" customFormat="false" ht="15" hidden="false" customHeight="false" outlineLevel="0" collapsed="false">
      <c r="A69" s="14" t="n">
        <v>68</v>
      </c>
      <c r="B69" s="15" t="s">
        <v>207</v>
      </c>
      <c r="C69" s="15" t="s">
        <v>42</v>
      </c>
      <c r="D69" s="15" t="s">
        <v>208</v>
      </c>
      <c r="E69" s="15" t="s">
        <v>11</v>
      </c>
      <c r="F69" s="15" t="s">
        <v>209</v>
      </c>
      <c r="G69" s="16" t="n">
        <v>4.4</v>
      </c>
      <c r="H69" s="17" t="n">
        <v>542</v>
      </c>
      <c r="I69" s="14" t="s">
        <v>55</v>
      </c>
      <c r="J69" s="14" t="s">
        <v>46</v>
      </c>
    </row>
    <row r="70" customFormat="false" ht="15" hidden="false" customHeight="false" outlineLevel="0" collapsed="false">
      <c r="A70" s="14" t="n">
        <v>69</v>
      </c>
      <c r="B70" s="15" t="s">
        <v>210</v>
      </c>
      <c r="C70" s="15" t="s">
        <v>58</v>
      </c>
      <c r="D70" s="15" t="s">
        <v>208</v>
      </c>
      <c r="E70" s="15" t="s">
        <v>11</v>
      </c>
      <c r="F70" s="15" t="s">
        <v>211</v>
      </c>
      <c r="G70" s="16" t="n">
        <v>4</v>
      </c>
      <c r="H70" s="17" t="n">
        <v>607</v>
      </c>
      <c r="I70" s="14" t="s">
        <v>55</v>
      </c>
      <c r="J70" s="14" t="s">
        <v>56</v>
      </c>
    </row>
    <row r="71" customFormat="false" ht="15" hidden="false" customHeight="false" outlineLevel="0" collapsed="false">
      <c r="A71" s="14" t="n">
        <v>70</v>
      </c>
      <c r="B71" s="15" t="s">
        <v>212</v>
      </c>
      <c r="C71" s="15" t="s">
        <v>42</v>
      </c>
      <c r="D71" s="15" t="s">
        <v>208</v>
      </c>
      <c r="E71" s="15" t="s">
        <v>11</v>
      </c>
      <c r="F71" s="15" t="s">
        <v>213</v>
      </c>
      <c r="G71" s="16" t="n">
        <v>4</v>
      </c>
      <c r="H71" s="17" t="n">
        <v>603</v>
      </c>
      <c r="I71" s="14" t="s">
        <v>55</v>
      </c>
      <c r="J71" s="14" t="s">
        <v>46</v>
      </c>
    </row>
    <row r="72" customFormat="false" ht="15" hidden="false" customHeight="false" outlineLevel="0" collapsed="false">
      <c r="A72" s="14" t="n">
        <v>71</v>
      </c>
      <c r="B72" s="15" t="s">
        <v>214</v>
      </c>
      <c r="C72" s="15" t="s">
        <v>42</v>
      </c>
      <c r="D72" s="15" t="s">
        <v>208</v>
      </c>
      <c r="E72" s="15" t="s">
        <v>11</v>
      </c>
      <c r="F72" s="15" t="s">
        <v>215</v>
      </c>
      <c r="G72" s="16" t="n">
        <v>4.3</v>
      </c>
      <c r="H72" s="17" t="n">
        <v>426</v>
      </c>
      <c r="I72" s="14" t="s">
        <v>55</v>
      </c>
      <c r="J72" s="14" t="s">
        <v>56</v>
      </c>
    </row>
    <row r="73" customFormat="false" ht="15" hidden="false" customHeight="false" outlineLevel="0" collapsed="false">
      <c r="A73" s="14" t="n">
        <v>72</v>
      </c>
      <c r="B73" s="15" t="s">
        <v>216</v>
      </c>
      <c r="C73" s="15" t="s">
        <v>42</v>
      </c>
      <c r="D73" s="15" t="s">
        <v>208</v>
      </c>
      <c r="E73" s="15" t="s">
        <v>11</v>
      </c>
      <c r="F73" s="15" t="s">
        <v>217</v>
      </c>
      <c r="G73" s="16" t="n">
        <v>4.5</v>
      </c>
      <c r="H73" s="17" t="n">
        <v>258</v>
      </c>
      <c r="I73" s="14" t="s">
        <v>55</v>
      </c>
      <c r="J73" s="14" t="s">
        <v>56</v>
      </c>
    </row>
    <row r="74" customFormat="false" ht="15" hidden="false" customHeight="false" outlineLevel="0" collapsed="false">
      <c r="A74" s="14" t="n">
        <v>73</v>
      </c>
      <c r="B74" s="15" t="s">
        <v>218</v>
      </c>
      <c r="C74" s="15" t="s">
        <v>42</v>
      </c>
      <c r="D74" s="15" t="s">
        <v>208</v>
      </c>
      <c r="E74" s="15" t="s">
        <v>11</v>
      </c>
      <c r="F74" s="15" t="s">
        <v>219</v>
      </c>
      <c r="G74" s="16" t="n">
        <v>4.4</v>
      </c>
      <c r="H74" s="17" t="n">
        <v>303</v>
      </c>
      <c r="I74" s="14" t="s">
        <v>55</v>
      </c>
      <c r="J74" s="14" t="s">
        <v>46</v>
      </c>
    </row>
    <row r="75" customFormat="false" ht="15" hidden="false" customHeight="false" outlineLevel="0" collapsed="false">
      <c r="A75" s="14" t="n">
        <v>74</v>
      </c>
      <c r="B75" s="15" t="s">
        <v>220</v>
      </c>
      <c r="C75" s="15" t="s">
        <v>58</v>
      </c>
      <c r="D75" s="15" t="s">
        <v>221</v>
      </c>
      <c r="E75" s="15" t="s">
        <v>11</v>
      </c>
      <c r="F75" s="15" t="s">
        <v>127</v>
      </c>
      <c r="G75" s="16" t="n">
        <v>4.7</v>
      </c>
      <c r="H75" s="17" t="n">
        <v>1458</v>
      </c>
      <c r="I75" s="14" t="s">
        <v>55</v>
      </c>
      <c r="J75" s="14" t="s">
        <v>46</v>
      </c>
    </row>
    <row r="76" customFormat="false" ht="15" hidden="false" customHeight="false" outlineLevel="0" collapsed="false">
      <c r="A76" s="14" t="n">
        <v>75</v>
      </c>
      <c r="B76" s="15" t="s">
        <v>222</v>
      </c>
      <c r="C76" s="15" t="s">
        <v>42</v>
      </c>
      <c r="D76" s="15" t="s">
        <v>223</v>
      </c>
      <c r="E76" s="15" t="s">
        <v>11</v>
      </c>
      <c r="F76" s="15" t="s">
        <v>224</v>
      </c>
      <c r="G76" s="16" t="n">
        <v>4.7</v>
      </c>
      <c r="H76" s="17" t="n">
        <v>450</v>
      </c>
      <c r="I76" s="14" t="s">
        <v>61</v>
      </c>
      <c r="J76" s="14" t="s">
        <v>46</v>
      </c>
    </row>
    <row r="77" customFormat="false" ht="15" hidden="false" customHeight="false" outlineLevel="0" collapsed="false">
      <c r="A77" s="14" t="n">
        <v>76</v>
      </c>
      <c r="B77" s="15" t="s">
        <v>225</v>
      </c>
      <c r="C77" s="15" t="s">
        <v>42</v>
      </c>
      <c r="D77" s="15" t="s">
        <v>226</v>
      </c>
      <c r="E77" s="15" t="s">
        <v>11</v>
      </c>
      <c r="F77" s="15" t="s">
        <v>227</v>
      </c>
      <c r="G77" s="16" t="n">
        <v>5</v>
      </c>
      <c r="H77" s="17" t="n">
        <v>1725</v>
      </c>
      <c r="I77" s="14" t="s">
        <v>228</v>
      </c>
      <c r="J77" s="14" t="s">
        <v>46</v>
      </c>
    </row>
    <row r="78" customFormat="false" ht="15" hidden="false" customHeight="false" outlineLevel="0" collapsed="false">
      <c r="A78" s="14" t="n">
        <v>77</v>
      </c>
      <c r="B78" s="15" t="s">
        <v>229</v>
      </c>
      <c r="C78" s="15" t="s">
        <v>58</v>
      </c>
      <c r="D78" s="15" t="s">
        <v>230</v>
      </c>
      <c r="E78" s="15" t="s">
        <v>11</v>
      </c>
      <c r="F78" s="15" t="s">
        <v>231</v>
      </c>
      <c r="G78" s="16" t="n">
        <v>4.4</v>
      </c>
      <c r="H78" s="17" t="n">
        <v>2421</v>
      </c>
      <c r="I78" s="14" t="s">
        <v>61</v>
      </c>
      <c r="J78" s="14" t="s">
        <v>46</v>
      </c>
    </row>
    <row r="79" customFormat="false" ht="15" hidden="false" customHeight="false" outlineLevel="0" collapsed="false">
      <c r="A79" s="14" t="n">
        <v>78</v>
      </c>
      <c r="B79" s="15" t="s">
        <v>232</v>
      </c>
      <c r="C79" s="15" t="s">
        <v>58</v>
      </c>
      <c r="D79" s="15" t="s">
        <v>230</v>
      </c>
      <c r="E79" s="15" t="s">
        <v>11</v>
      </c>
      <c r="F79" s="15" t="s">
        <v>233</v>
      </c>
      <c r="G79" s="16" t="n">
        <v>4.8</v>
      </c>
      <c r="H79" s="17" t="n">
        <v>325</v>
      </c>
      <c r="I79" s="14" t="s">
        <v>61</v>
      </c>
      <c r="J79" s="14" t="s">
        <v>46</v>
      </c>
    </row>
    <row r="80" customFormat="false" ht="15" hidden="false" customHeight="false" outlineLevel="0" collapsed="false">
      <c r="A80" s="14" t="n">
        <v>79</v>
      </c>
      <c r="B80" s="15" t="s">
        <v>234</v>
      </c>
      <c r="C80" s="15" t="s">
        <v>42</v>
      </c>
      <c r="D80" s="15" t="s">
        <v>230</v>
      </c>
      <c r="E80" s="15" t="s">
        <v>11</v>
      </c>
      <c r="F80" s="15" t="s">
        <v>235</v>
      </c>
      <c r="G80" s="16" t="n">
        <v>4.9</v>
      </c>
      <c r="H80" s="17" t="n">
        <v>173</v>
      </c>
      <c r="I80" s="14" t="s">
        <v>61</v>
      </c>
      <c r="J80" s="14" t="s">
        <v>46</v>
      </c>
    </row>
    <row r="81" customFormat="false" ht="15" hidden="false" customHeight="false" outlineLevel="0" collapsed="false">
      <c r="A81" s="14" t="n">
        <v>80</v>
      </c>
      <c r="B81" s="15" t="s">
        <v>236</v>
      </c>
      <c r="C81" s="15" t="s">
        <v>58</v>
      </c>
      <c r="D81" s="15" t="s">
        <v>230</v>
      </c>
      <c r="E81" s="15" t="s">
        <v>11</v>
      </c>
      <c r="F81" s="15" t="s">
        <v>237</v>
      </c>
      <c r="G81" s="16" t="n">
        <v>4.6</v>
      </c>
      <c r="H81" s="17" t="n">
        <v>1195</v>
      </c>
      <c r="I81" s="14" t="s">
        <v>61</v>
      </c>
      <c r="J81" s="14" t="s">
        <v>46</v>
      </c>
    </row>
    <row r="82" customFormat="false" ht="15" hidden="false" customHeight="false" outlineLevel="0" collapsed="false">
      <c r="A82" s="14" t="n">
        <v>81</v>
      </c>
      <c r="B82" s="15" t="s">
        <v>238</v>
      </c>
      <c r="C82" s="15" t="s">
        <v>58</v>
      </c>
      <c r="D82" s="15" t="s">
        <v>239</v>
      </c>
      <c r="E82" s="15" t="s">
        <v>11</v>
      </c>
      <c r="F82" s="15" t="s">
        <v>240</v>
      </c>
      <c r="G82" s="16" t="n">
        <v>4.8</v>
      </c>
      <c r="H82" s="17" t="n">
        <v>3587</v>
      </c>
      <c r="I82" s="14" t="s">
        <v>61</v>
      </c>
      <c r="J82" s="14" t="s">
        <v>46</v>
      </c>
    </row>
    <row r="83" customFormat="false" ht="15" hidden="false" customHeight="false" outlineLevel="0" collapsed="false">
      <c r="A83" s="14" t="n">
        <v>82</v>
      </c>
      <c r="B83" s="15" t="s">
        <v>241</v>
      </c>
      <c r="C83" s="15" t="s">
        <v>42</v>
      </c>
      <c r="D83" s="15" t="s">
        <v>242</v>
      </c>
      <c r="E83" s="15" t="s">
        <v>11</v>
      </c>
      <c r="F83" s="15" t="s">
        <v>243</v>
      </c>
      <c r="G83" s="16" t="n">
        <v>4.7</v>
      </c>
      <c r="H83" s="17" t="n">
        <v>1186</v>
      </c>
      <c r="I83" s="14" t="s">
        <v>61</v>
      </c>
      <c r="J83" s="14" t="s">
        <v>46</v>
      </c>
    </row>
    <row r="84" customFormat="false" ht="15" hidden="false" customHeight="false" outlineLevel="0" collapsed="false">
      <c r="A84" s="14" t="n">
        <v>83</v>
      </c>
      <c r="B84" s="15" t="s">
        <v>244</v>
      </c>
      <c r="C84" s="15" t="s">
        <v>42</v>
      </c>
      <c r="D84" s="15" t="s">
        <v>245</v>
      </c>
      <c r="E84" s="15" t="s">
        <v>11</v>
      </c>
      <c r="F84" s="15" t="s">
        <v>246</v>
      </c>
      <c r="G84" s="16" t="n">
        <v>4.8</v>
      </c>
      <c r="H84" s="17" t="n">
        <v>1523</v>
      </c>
      <c r="I84" s="14" t="s">
        <v>61</v>
      </c>
      <c r="J84" s="14" t="s">
        <v>46</v>
      </c>
    </row>
    <row r="85" customFormat="false" ht="15" hidden="false" customHeight="false" outlineLevel="0" collapsed="false">
      <c r="A85" s="14" t="n">
        <v>84</v>
      </c>
      <c r="B85" s="15" t="s">
        <v>247</v>
      </c>
      <c r="C85" s="15" t="s">
        <v>58</v>
      </c>
      <c r="D85" s="15" t="s">
        <v>248</v>
      </c>
      <c r="E85" s="15" t="s">
        <v>11</v>
      </c>
      <c r="F85" s="15" t="s">
        <v>249</v>
      </c>
      <c r="G85" s="16" t="n">
        <v>4.8</v>
      </c>
      <c r="H85" s="17" t="n">
        <v>4608</v>
      </c>
      <c r="I85" s="14" t="s">
        <v>61</v>
      </c>
      <c r="J85" s="14" t="s">
        <v>56</v>
      </c>
    </row>
    <row r="86" customFormat="false" ht="15" hidden="false" customHeight="false" outlineLevel="0" collapsed="false">
      <c r="A86" s="14" t="n">
        <v>85</v>
      </c>
      <c r="B86" s="15" t="s">
        <v>250</v>
      </c>
      <c r="C86" s="15" t="s">
        <v>42</v>
      </c>
      <c r="D86" s="15" t="s">
        <v>251</v>
      </c>
      <c r="E86" s="15" t="s">
        <v>11</v>
      </c>
      <c r="F86" s="15" t="s">
        <v>252</v>
      </c>
      <c r="G86" s="16" t="n">
        <v>4.8</v>
      </c>
      <c r="H86" s="17" t="n">
        <v>338</v>
      </c>
      <c r="I86" s="14" t="s">
        <v>61</v>
      </c>
      <c r="J86" s="14" t="s">
        <v>46</v>
      </c>
    </row>
    <row r="87" customFormat="false" ht="15" hidden="false" customHeight="false" outlineLevel="0" collapsed="false">
      <c r="A87" s="14" t="n">
        <v>86</v>
      </c>
      <c r="B87" s="15" t="s">
        <v>253</v>
      </c>
      <c r="C87" s="15" t="s">
        <v>42</v>
      </c>
      <c r="D87" s="15" t="s">
        <v>254</v>
      </c>
      <c r="E87" s="15" t="s">
        <v>11</v>
      </c>
      <c r="F87" s="15" t="s">
        <v>255</v>
      </c>
      <c r="G87" s="16" t="n">
        <v>4.8</v>
      </c>
      <c r="H87" s="17" t="n">
        <v>4372</v>
      </c>
      <c r="I87" s="14" t="s">
        <v>228</v>
      </c>
      <c r="J87" s="14" t="s">
        <v>46</v>
      </c>
    </row>
    <row r="88" customFormat="false" ht="15" hidden="false" customHeight="false" outlineLevel="0" collapsed="false">
      <c r="A88" s="14" t="n">
        <v>87</v>
      </c>
      <c r="B88" s="15" t="s">
        <v>256</v>
      </c>
      <c r="C88" s="15" t="s">
        <v>58</v>
      </c>
      <c r="D88" s="15" t="s">
        <v>257</v>
      </c>
      <c r="E88" s="15" t="s">
        <v>11</v>
      </c>
      <c r="F88" s="15" t="s">
        <v>258</v>
      </c>
      <c r="G88" s="16" t="n">
        <v>5</v>
      </c>
      <c r="H88" s="17" t="n">
        <v>813</v>
      </c>
      <c r="I88" s="14" t="s">
        <v>61</v>
      </c>
      <c r="J88" s="14" t="s">
        <v>46</v>
      </c>
    </row>
    <row r="89" customFormat="false" ht="15" hidden="false" customHeight="false" outlineLevel="0" collapsed="false">
      <c r="A89" s="14" t="n">
        <v>88</v>
      </c>
      <c r="B89" s="15" t="s">
        <v>259</v>
      </c>
      <c r="C89" s="15" t="s">
        <v>42</v>
      </c>
      <c r="D89" s="15" t="s">
        <v>260</v>
      </c>
      <c r="E89" s="15" t="s">
        <v>11</v>
      </c>
      <c r="F89" s="15" t="s">
        <v>261</v>
      </c>
      <c r="G89" s="16" t="n">
        <v>4.7</v>
      </c>
      <c r="H89" s="17" t="n">
        <v>1261</v>
      </c>
      <c r="I89" s="14" t="s">
        <v>61</v>
      </c>
      <c r="J89" s="14" t="s">
        <v>46</v>
      </c>
    </row>
    <row r="90" customFormat="false" ht="15" hidden="false" customHeight="false" outlineLevel="0" collapsed="false">
      <c r="A90" s="14" t="n">
        <v>89</v>
      </c>
      <c r="B90" s="15" t="s">
        <v>262</v>
      </c>
      <c r="C90" s="15" t="s">
        <v>58</v>
      </c>
      <c r="D90" s="15" t="s">
        <v>263</v>
      </c>
      <c r="E90" s="15" t="s">
        <v>11</v>
      </c>
      <c r="F90" s="15" t="s">
        <v>127</v>
      </c>
      <c r="G90" s="16" t="n">
        <v>4.9</v>
      </c>
      <c r="H90" s="17" t="n">
        <v>2226</v>
      </c>
      <c r="I90" s="14" t="s">
        <v>61</v>
      </c>
      <c r="J90" s="14" t="s">
        <v>46</v>
      </c>
    </row>
    <row r="91" customFormat="false" ht="15" hidden="false" customHeight="false" outlineLevel="0" collapsed="false">
      <c r="A91" s="14" t="n">
        <v>90</v>
      </c>
      <c r="B91" s="15" t="s">
        <v>264</v>
      </c>
      <c r="C91" s="15" t="s">
        <v>42</v>
      </c>
      <c r="D91" s="15" t="s">
        <v>265</v>
      </c>
      <c r="E91" s="15" t="s">
        <v>11</v>
      </c>
      <c r="F91" s="15" t="s">
        <v>266</v>
      </c>
      <c r="G91" s="16" t="n">
        <v>4.8</v>
      </c>
      <c r="H91" s="17" t="n">
        <v>347</v>
      </c>
      <c r="I91" s="14" t="s">
        <v>127</v>
      </c>
      <c r="J91" s="14" t="s">
        <v>56</v>
      </c>
    </row>
    <row r="92" customFormat="false" ht="15" hidden="false" customHeight="false" outlineLevel="0" collapsed="false">
      <c r="A92" s="14" t="n">
        <v>91</v>
      </c>
      <c r="B92" s="15" t="s">
        <v>267</v>
      </c>
      <c r="C92" s="15" t="s">
        <v>42</v>
      </c>
      <c r="D92" s="15" t="s">
        <v>265</v>
      </c>
      <c r="E92" s="15" t="s">
        <v>11</v>
      </c>
      <c r="F92" s="15" t="s">
        <v>268</v>
      </c>
      <c r="G92" s="16" t="n">
        <v>5</v>
      </c>
      <c r="H92" s="17" t="n">
        <v>4018</v>
      </c>
      <c r="I92" s="14" t="s">
        <v>228</v>
      </c>
      <c r="J92" s="14" t="s">
        <v>46</v>
      </c>
    </row>
    <row r="93" customFormat="false" ht="15" hidden="false" customHeight="false" outlineLevel="0" collapsed="false">
      <c r="A93" s="14" t="n">
        <v>92</v>
      </c>
      <c r="B93" s="15" t="s">
        <v>269</v>
      </c>
      <c r="C93" s="15" t="s">
        <v>42</v>
      </c>
      <c r="D93" s="15" t="s">
        <v>270</v>
      </c>
      <c r="E93" s="15" t="s">
        <v>11</v>
      </c>
      <c r="F93" s="15" t="s">
        <v>271</v>
      </c>
      <c r="G93" s="16" t="n">
        <v>4.2</v>
      </c>
      <c r="H93" s="17" t="n">
        <v>1298</v>
      </c>
      <c r="I93" s="14" t="s">
        <v>61</v>
      </c>
      <c r="J93" s="14" t="s">
        <v>46</v>
      </c>
    </row>
    <row r="94" customFormat="false" ht="15" hidden="false" customHeight="false" outlineLevel="0" collapsed="false">
      <c r="A94" s="14" t="n">
        <v>93</v>
      </c>
      <c r="B94" s="15" t="s">
        <v>272</v>
      </c>
      <c r="C94" s="15" t="s">
        <v>58</v>
      </c>
      <c r="D94" s="15" t="s">
        <v>273</v>
      </c>
      <c r="E94" s="15" t="s">
        <v>11</v>
      </c>
      <c r="F94" s="15" t="s">
        <v>274</v>
      </c>
      <c r="G94" s="16" t="n">
        <v>4.4</v>
      </c>
      <c r="H94" s="17" t="n">
        <v>1149</v>
      </c>
      <c r="I94" s="14" t="s">
        <v>61</v>
      </c>
      <c r="J94" s="14" t="s">
        <v>46</v>
      </c>
    </row>
    <row r="95" customFormat="false" ht="15" hidden="false" customHeight="false" outlineLevel="0" collapsed="false">
      <c r="A95" s="14" t="n">
        <v>94</v>
      </c>
      <c r="B95" s="15" t="s">
        <v>275</v>
      </c>
      <c r="C95" s="15" t="s">
        <v>58</v>
      </c>
      <c r="D95" s="15" t="s">
        <v>276</v>
      </c>
      <c r="E95" s="15" t="s">
        <v>11</v>
      </c>
      <c r="F95" s="15" t="s">
        <v>277</v>
      </c>
      <c r="G95" s="16" t="n">
        <v>3.8</v>
      </c>
      <c r="H95" s="17" t="n">
        <v>393</v>
      </c>
      <c r="I95" s="14" t="s">
        <v>61</v>
      </c>
      <c r="J95" s="14" t="s">
        <v>46</v>
      </c>
    </row>
    <row r="96" customFormat="false" ht="15" hidden="false" customHeight="false" outlineLevel="0" collapsed="false">
      <c r="A96" s="14" t="n">
        <v>95</v>
      </c>
      <c r="B96" s="15" t="s">
        <v>278</v>
      </c>
      <c r="C96" s="15" t="s">
        <v>58</v>
      </c>
      <c r="D96" s="15" t="s">
        <v>279</v>
      </c>
      <c r="E96" s="15" t="s">
        <v>11</v>
      </c>
      <c r="F96" s="15" t="s">
        <v>280</v>
      </c>
      <c r="G96" s="16" t="n">
        <v>4.9</v>
      </c>
      <c r="H96" s="17" t="n">
        <v>8583</v>
      </c>
      <c r="I96" s="14" t="s">
        <v>61</v>
      </c>
      <c r="J96" s="14" t="s">
        <v>46</v>
      </c>
    </row>
    <row r="97" customFormat="false" ht="15" hidden="false" customHeight="false" outlineLevel="0" collapsed="false">
      <c r="A97" s="14" t="n">
        <v>96</v>
      </c>
      <c r="B97" s="15" t="s">
        <v>281</v>
      </c>
      <c r="C97" s="15" t="s">
        <v>58</v>
      </c>
      <c r="D97" s="15" t="s">
        <v>279</v>
      </c>
      <c r="E97" s="15" t="s">
        <v>11</v>
      </c>
      <c r="F97" s="15" t="s">
        <v>282</v>
      </c>
      <c r="G97" s="16" t="n">
        <v>4.8</v>
      </c>
      <c r="H97" s="17" t="n">
        <v>2183</v>
      </c>
      <c r="I97" s="14" t="s">
        <v>61</v>
      </c>
      <c r="J97" s="14" t="s">
        <v>46</v>
      </c>
    </row>
    <row r="98" customFormat="false" ht="15" hidden="false" customHeight="false" outlineLevel="0" collapsed="false">
      <c r="A98" s="14" t="n">
        <v>97</v>
      </c>
      <c r="B98" s="15" t="s">
        <v>283</v>
      </c>
      <c r="C98" s="15" t="s">
        <v>58</v>
      </c>
      <c r="D98" s="15" t="s">
        <v>279</v>
      </c>
      <c r="E98" s="15" t="s">
        <v>11</v>
      </c>
      <c r="F98" s="15" t="s">
        <v>284</v>
      </c>
      <c r="G98" s="16" t="n">
        <v>4.6</v>
      </c>
      <c r="H98" s="17" t="n">
        <v>2108</v>
      </c>
      <c r="I98" s="14" t="s">
        <v>61</v>
      </c>
      <c r="J98" s="14" t="s">
        <v>46</v>
      </c>
    </row>
    <row r="99" customFormat="false" ht="15" hidden="false" customHeight="false" outlineLevel="0" collapsed="false">
      <c r="A99" s="14" t="n">
        <v>98</v>
      </c>
      <c r="B99" s="15" t="s">
        <v>285</v>
      </c>
      <c r="C99" s="15" t="s">
        <v>58</v>
      </c>
      <c r="D99" s="15" t="s">
        <v>279</v>
      </c>
      <c r="E99" s="15" t="s">
        <v>11</v>
      </c>
      <c r="F99" s="15" t="s">
        <v>286</v>
      </c>
      <c r="G99" s="16" t="n">
        <v>4.8</v>
      </c>
      <c r="H99" s="17" t="n">
        <v>5360</v>
      </c>
      <c r="I99" s="14" t="s">
        <v>61</v>
      </c>
      <c r="J99" s="14" t="s">
        <v>46</v>
      </c>
    </row>
    <row r="100" customFormat="false" ht="15" hidden="false" customHeight="false" outlineLevel="0" collapsed="false">
      <c r="A100" s="14" t="n">
        <v>99</v>
      </c>
      <c r="B100" s="15" t="s">
        <v>287</v>
      </c>
      <c r="C100" s="15" t="s">
        <v>42</v>
      </c>
      <c r="D100" s="15" t="s">
        <v>288</v>
      </c>
      <c r="E100" s="15" t="s">
        <v>11</v>
      </c>
      <c r="F100" s="15" t="s">
        <v>289</v>
      </c>
      <c r="G100" s="16" t="n">
        <v>4.9</v>
      </c>
      <c r="H100" s="17" t="n">
        <v>614</v>
      </c>
      <c r="I100" s="14" t="s">
        <v>61</v>
      </c>
      <c r="J100" s="14" t="s">
        <v>46</v>
      </c>
    </row>
    <row r="101" customFormat="false" ht="15" hidden="false" customHeight="false" outlineLevel="0" collapsed="false">
      <c r="A101" s="14" t="n">
        <v>100</v>
      </c>
      <c r="B101" s="15" t="s">
        <v>290</v>
      </c>
      <c r="C101" s="15" t="s">
        <v>52</v>
      </c>
      <c r="D101" s="15" t="s">
        <v>291</v>
      </c>
      <c r="E101" s="15" t="s">
        <v>11</v>
      </c>
      <c r="F101" s="15" t="s">
        <v>292</v>
      </c>
      <c r="G101" s="16" t="n">
        <v>4.1</v>
      </c>
      <c r="H101" s="17" t="n">
        <v>1261</v>
      </c>
      <c r="I101" s="14" t="s">
        <v>55</v>
      </c>
      <c r="J101" s="14" t="s">
        <v>56</v>
      </c>
    </row>
    <row r="102" customFormat="false" ht="15" hidden="false" customHeight="false" outlineLevel="0" collapsed="false">
      <c r="A102" s="14" t="n">
        <v>101</v>
      </c>
      <c r="B102" s="15" t="s">
        <v>293</v>
      </c>
      <c r="C102" s="15" t="s">
        <v>42</v>
      </c>
      <c r="D102" s="15" t="s">
        <v>294</v>
      </c>
      <c r="E102" s="15" t="s">
        <v>11</v>
      </c>
      <c r="F102" s="15" t="s">
        <v>295</v>
      </c>
      <c r="G102" s="16" t="n">
        <v>4.7</v>
      </c>
      <c r="H102" s="17" t="n">
        <v>973</v>
      </c>
      <c r="I102" s="14" t="s">
        <v>55</v>
      </c>
      <c r="J102" s="14" t="s">
        <v>46</v>
      </c>
    </row>
    <row r="103" customFormat="false" ht="15" hidden="false" customHeight="false" outlineLevel="0" collapsed="false">
      <c r="A103" s="14" t="n">
        <v>102</v>
      </c>
      <c r="B103" s="15" t="s">
        <v>296</v>
      </c>
      <c r="C103" s="15" t="s">
        <v>42</v>
      </c>
      <c r="D103" s="15" t="s">
        <v>294</v>
      </c>
      <c r="E103" s="15" t="s">
        <v>11</v>
      </c>
      <c r="F103" s="15" t="s">
        <v>297</v>
      </c>
      <c r="G103" s="16" t="n">
        <v>4</v>
      </c>
      <c r="H103" s="17" t="n">
        <v>270</v>
      </c>
      <c r="I103" s="14" t="s">
        <v>61</v>
      </c>
      <c r="J103" s="14" t="s">
        <v>46</v>
      </c>
    </row>
    <row r="104" customFormat="false" ht="15" hidden="false" customHeight="false" outlineLevel="0" collapsed="false">
      <c r="A104" s="14" t="n">
        <v>103</v>
      </c>
      <c r="B104" s="15" t="s">
        <v>298</v>
      </c>
      <c r="C104" s="15" t="s">
        <v>58</v>
      </c>
      <c r="D104" s="15" t="s">
        <v>299</v>
      </c>
      <c r="E104" s="15" t="s">
        <v>11</v>
      </c>
      <c r="F104" s="15" t="s">
        <v>300</v>
      </c>
      <c r="G104" s="16" t="n">
        <v>3.9</v>
      </c>
      <c r="H104" s="17" t="n">
        <v>152</v>
      </c>
      <c r="I104" s="14" t="s">
        <v>55</v>
      </c>
      <c r="J104" s="14" t="s">
        <v>56</v>
      </c>
    </row>
    <row r="105" customFormat="false" ht="15" hidden="false" customHeight="false" outlineLevel="0" collapsed="false">
      <c r="A105" s="14" t="n">
        <v>104</v>
      </c>
      <c r="B105" s="15" t="s">
        <v>301</v>
      </c>
      <c r="C105" s="15" t="s">
        <v>42</v>
      </c>
      <c r="D105" s="15" t="s">
        <v>299</v>
      </c>
      <c r="E105" s="15" t="s">
        <v>11</v>
      </c>
      <c r="F105" s="15" t="s">
        <v>302</v>
      </c>
      <c r="G105" s="16" t="n">
        <v>4.1</v>
      </c>
      <c r="H105" s="17" t="n">
        <v>325</v>
      </c>
      <c r="I105" s="14" t="s">
        <v>61</v>
      </c>
      <c r="J105" s="14" t="s">
        <v>46</v>
      </c>
    </row>
    <row r="106" customFormat="false" ht="15" hidden="false" customHeight="false" outlineLevel="0" collapsed="false">
      <c r="A106" s="14" t="n">
        <v>105</v>
      </c>
      <c r="B106" s="15" t="s">
        <v>303</v>
      </c>
      <c r="C106" s="15" t="s">
        <v>58</v>
      </c>
      <c r="D106" s="15" t="s">
        <v>299</v>
      </c>
      <c r="E106" s="15" t="s">
        <v>11</v>
      </c>
      <c r="F106" s="15" t="s">
        <v>304</v>
      </c>
      <c r="G106" s="16" t="n">
        <v>4.5</v>
      </c>
      <c r="H106" s="17" t="n">
        <v>528</v>
      </c>
      <c r="I106" s="14" t="s">
        <v>55</v>
      </c>
      <c r="J106" s="14" t="s">
        <v>46</v>
      </c>
    </row>
    <row r="107" customFormat="false" ht="15" hidden="false" customHeight="false" outlineLevel="0" collapsed="false">
      <c r="A107" s="14" t="n">
        <v>106</v>
      </c>
      <c r="B107" s="15" t="s">
        <v>305</v>
      </c>
      <c r="C107" s="15" t="s">
        <v>42</v>
      </c>
      <c r="D107" s="15" t="s">
        <v>306</v>
      </c>
      <c r="E107" s="15" t="s">
        <v>11</v>
      </c>
      <c r="F107" s="15" t="s">
        <v>307</v>
      </c>
      <c r="G107" s="16" t="n">
        <v>4.7</v>
      </c>
      <c r="H107" s="17" t="n">
        <v>1375</v>
      </c>
      <c r="I107" s="14" t="s">
        <v>61</v>
      </c>
      <c r="J107" s="14" t="s">
        <v>46</v>
      </c>
    </row>
    <row r="108" customFormat="false" ht="15" hidden="false" customHeight="false" outlineLevel="0" collapsed="false">
      <c r="A108" s="14" t="n">
        <v>107</v>
      </c>
      <c r="B108" s="15" t="s">
        <v>308</v>
      </c>
      <c r="C108" s="15" t="s">
        <v>42</v>
      </c>
      <c r="D108" s="15" t="s">
        <v>306</v>
      </c>
      <c r="E108" s="15" t="s">
        <v>11</v>
      </c>
      <c r="F108" s="15" t="s">
        <v>309</v>
      </c>
      <c r="G108" s="16" t="n">
        <v>4.5</v>
      </c>
      <c r="H108" s="17" t="n">
        <v>32</v>
      </c>
      <c r="I108" s="14" t="s">
        <v>55</v>
      </c>
      <c r="J108" s="14" t="s">
        <v>46</v>
      </c>
    </row>
    <row r="109" customFormat="false" ht="15" hidden="false" customHeight="false" outlineLevel="0" collapsed="false">
      <c r="A109" s="14" t="n">
        <v>108</v>
      </c>
      <c r="B109" s="15" t="s">
        <v>310</v>
      </c>
      <c r="C109" s="15" t="s">
        <v>58</v>
      </c>
      <c r="D109" s="15" t="s">
        <v>306</v>
      </c>
      <c r="E109" s="15" t="s">
        <v>11</v>
      </c>
      <c r="F109" s="15" t="s">
        <v>311</v>
      </c>
      <c r="G109" s="16" t="n">
        <v>4.7</v>
      </c>
      <c r="H109" s="17" t="n">
        <v>5074</v>
      </c>
      <c r="I109" s="14" t="s">
        <v>61</v>
      </c>
      <c r="J109" s="14" t="s">
        <v>46</v>
      </c>
    </row>
    <row r="110" customFormat="false" ht="15" hidden="false" customHeight="false" outlineLevel="0" collapsed="false">
      <c r="A110" s="14" t="n">
        <v>109</v>
      </c>
      <c r="B110" s="15" t="s">
        <v>312</v>
      </c>
      <c r="C110" s="15" t="s">
        <v>42</v>
      </c>
      <c r="D110" s="15" t="s">
        <v>306</v>
      </c>
      <c r="E110" s="15" t="s">
        <v>11</v>
      </c>
      <c r="F110" s="15" t="s">
        <v>313</v>
      </c>
      <c r="G110" s="16" t="n">
        <v>3.6</v>
      </c>
      <c r="H110" s="17" t="n">
        <v>56</v>
      </c>
      <c r="I110" s="14" t="s">
        <v>55</v>
      </c>
      <c r="J110" s="14" t="s">
        <v>46</v>
      </c>
    </row>
    <row r="111" customFormat="false" ht="15" hidden="false" customHeight="false" outlineLevel="0" collapsed="false">
      <c r="A111" s="14" t="n">
        <v>110</v>
      </c>
      <c r="B111" s="15" t="s">
        <v>314</v>
      </c>
      <c r="C111" s="15" t="s">
        <v>42</v>
      </c>
      <c r="D111" s="15" t="s">
        <v>315</v>
      </c>
      <c r="E111" s="15" t="s">
        <v>11</v>
      </c>
      <c r="F111" s="15" t="s">
        <v>316</v>
      </c>
      <c r="G111" s="16" t="n">
        <v>4.7</v>
      </c>
      <c r="H111" s="17" t="n">
        <v>1292</v>
      </c>
      <c r="I111" s="14" t="s">
        <v>127</v>
      </c>
      <c r="J111" s="14" t="s">
        <v>46</v>
      </c>
    </row>
    <row r="112" customFormat="false" ht="15" hidden="false" customHeight="false" outlineLevel="0" collapsed="false">
      <c r="A112" s="14" t="n">
        <v>111</v>
      </c>
      <c r="B112" s="15" t="s">
        <v>317</v>
      </c>
      <c r="C112" s="15" t="s">
        <v>42</v>
      </c>
      <c r="D112" s="15" t="s">
        <v>315</v>
      </c>
      <c r="E112" s="15" t="s">
        <v>11</v>
      </c>
      <c r="F112" s="15" t="s">
        <v>318</v>
      </c>
      <c r="G112" s="16" t="n">
        <v>4.5</v>
      </c>
      <c r="H112" s="17" t="n">
        <v>1792</v>
      </c>
      <c r="I112" s="14" t="s">
        <v>61</v>
      </c>
      <c r="J112" s="14" t="s">
        <v>46</v>
      </c>
    </row>
    <row r="113" customFormat="false" ht="15" hidden="false" customHeight="false" outlineLevel="0" collapsed="false">
      <c r="A113" s="14" t="n">
        <v>112</v>
      </c>
      <c r="B113" s="15" t="s">
        <v>319</v>
      </c>
      <c r="C113" s="15" t="s">
        <v>42</v>
      </c>
      <c r="D113" s="15" t="s">
        <v>320</v>
      </c>
      <c r="E113" s="15" t="s">
        <v>11</v>
      </c>
      <c r="F113" s="15" t="s">
        <v>321</v>
      </c>
      <c r="G113" s="16" t="n">
        <v>4.5</v>
      </c>
      <c r="H113" s="17" t="n">
        <v>3129</v>
      </c>
      <c r="I113" s="14" t="s">
        <v>61</v>
      </c>
      <c r="J113" s="14" t="s">
        <v>46</v>
      </c>
    </row>
    <row r="114" customFormat="false" ht="15" hidden="false" customHeight="false" outlineLevel="0" collapsed="false">
      <c r="A114" s="14" t="n">
        <v>113</v>
      </c>
      <c r="B114" s="15" t="s">
        <v>322</v>
      </c>
      <c r="C114" s="15" t="s">
        <v>58</v>
      </c>
      <c r="D114" s="15" t="s">
        <v>323</v>
      </c>
      <c r="E114" s="15" t="s">
        <v>11</v>
      </c>
      <c r="F114" s="15" t="s">
        <v>324</v>
      </c>
      <c r="G114" s="16" t="n">
        <v>4.8</v>
      </c>
      <c r="H114" s="17" t="n">
        <v>1090</v>
      </c>
      <c r="I114" s="14" t="s">
        <v>61</v>
      </c>
      <c r="J114" s="14" t="s">
        <v>46</v>
      </c>
    </row>
    <row r="115" customFormat="false" ht="15" hidden="false" customHeight="false" outlineLevel="0" collapsed="false">
      <c r="A115" s="14" t="n">
        <v>114</v>
      </c>
      <c r="B115" s="15" t="s">
        <v>325</v>
      </c>
      <c r="C115" s="15" t="s">
        <v>58</v>
      </c>
      <c r="D115" s="15" t="s">
        <v>323</v>
      </c>
      <c r="E115" s="15" t="s">
        <v>11</v>
      </c>
      <c r="F115" s="15" t="s">
        <v>326</v>
      </c>
      <c r="G115" s="16" t="n">
        <v>4.7</v>
      </c>
      <c r="H115" s="17" t="n">
        <v>887</v>
      </c>
      <c r="I115" s="14" t="s">
        <v>61</v>
      </c>
      <c r="J115" s="14" t="s">
        <v>46</v>
      </c>
    </row>
    <row r="116" customFormat="false" ht="15" hidden="false" customHeight="false" outlineLevel="0" collapsed="false">
      <c r="A116" s="14" t="n">
        <v>115</v>
      </c>
      <c r="B116" s="15" t="s">
        <v>327</v>
      </c>
      <c r="C116" s="15" t="s">
        <v>58</v>
      </c>
      <c r="D116" s="15" t="s">
        <v>323</v>
      </c>
      <c r="E116" s="15" t="s">
        <v>11</v>
      </c>
      <c r="F116" s="15" t="s">
        <v>328</v>
      </c>
      <c r="G116" s="16" t="n">
        <v>4.7</v>
      </c>
      <c r="H116" s="17" t="n">
        <v>291</v>
      </c>
      <c r="I116" s="14" t="s">
        <v>61</v>
      </c>
      <c r="J116" s="14" t="s">
        <v>46</v>
      </c>
    </row>
    <row r="117" customFormat="false" ht="15" hidden="false" customHeight="false" outlineLevel="0" collapsed="false">
      <c r="A117" s="14" t="n">
        <v>116</v>
      </c>
      <c r="B117" s="15" t="s">
        <v>329</v>
      </c>
      <c r="C117" s="15" t="s">
        <v>58</v>
      </c>
      <c r="D117" s="15" t="s">
        <v>323</v>
      </c>
      <c r="E117" s="15" t="s">
        <v>11</v>
      </c>
      <c r="F117" s="15" t="s">
        <v>326</v>
      </c>
      <c r="G117" s="16" t="n">
        <v>4.8</v>
      </c>
      <c r="H117" s="17" t="n">
        <v>1869</v>
      </c>
      <c r="I117" s="14" t="s">
        <v>61</v>
      </c>
      <c r="J117" s="14" t="s">
        <v>46</v>
      </c>
    </row>
    <row r="118" customFormat="false" ht="15" hidden="false" customHeight="false" outlineLevel="0" collapsed="false">
      <c r="A118" s="14" t="n">
        <v>117</v>
      </c>
      <c r="B118" s="15" t="s">
        <v>330</v>
      </c>
      <c r="C118" s="15" t="s">
        <v>42</v>
      </c>
      <c r="D118" s="15" t="s">
        <v>323</v>
      </c>
      <c r="E118" s="15" t="s">
        <v>11</v>
      </c>
      <c r="F118" s="15" t="s">
        <v>127</v>
      </c>
      <c r="G118" s="16" t="n">
        <v>4.4</v>
      </c>
      <c r="H118" s="17" t="n">
        <v>103</v>
      </c>
      <c r="I118" s="14" t="s">
        <v>55</v>
      </c>
      <c r="J118" s="14" t="s">
        <v>46</v>
      </c>
    </row>
    <row r="119" customFormat="false" ht="15" hidden="false" customHeight="false" outlineLevel="0" collapsed="false">
      <c r="A119" s="14" t="n">
        <v>118</v>
      </c>
      <c r="B119" s="15" t="s">
        <v>331</v>
      </c>
      <c r="C119" s="15" t="s">
        <v>42</v>
      </c>
      <c r="D119" s="15" t="s">
        <v>323</v>
      </c>
      <c r="E119" s="15" t="s">
        <v>11</v>
      </c>
      <c r="F119" s="15" t="s">
        <v>332</v>
      </c>
      <c r="G119" s="16" t="n">
        <v>4.7</v>
      </c>
      <c r="H119" s="17" t="n">
        <v>722</v>
      </c>
      <c r="I119" s="14" t="s">
        <v>61</v>
      </c>
      <c r="J119" s="14" t="s">
        <v>46</v>
      </c>
    </row>
    <row r="120" customFormat="false" ht="15" hidden="false" customHeight="false" outlineLevel="0" collapsed="false">
      <c r="A120" s="14" t="n">
        <v>119</v>
      </c>
      <c r="B120" s="15" t="s">
        <v>333</v>
      </c>
      <c r="C120" s="15" t="s">
        <v>42</v>
      </c>
      <c r="D120" s="15" t="s">
        <v>334</v>
      </c>
      <c r="E120" s="15" t="s">
        <v>11</v>
      </c>
      <c r="F120" s="15" t="s">
        <v>335</v>
      </c>
      <c r="G120" s="16" t="n">
        <v>4.9</v>
      </c>
      <c r="H120" s="17" t="n">
        <v>4331</v>
      </c>
      <c r="I120" s="14" t="s">
        <v>45</v>
      </c>
      <c r="J120" s="14" t="s">
        <v>46</v>
      </c>
    </row>
    <row r="121" customFormat="false" ht="15" hidden="false" customHeight="false" outlineLevel="0" collapsed="false">
      <c r="A121" s="14" t="n">
        <v>120</v>
      </c>
      <c r="B121" s="15" t="s">
        <v>336</v>
      </c>
      <c r="C121" s="15" t="s">
        <v>58</v>
      </c>
      <c r="D121" s="15" t="s">
        <v>337</v>
      </c>
      <c r="E121" s="15" t="s">
        <v>11</v>
      </c>
      <c r="F121" s="15" t="s">
        <v>338</v>
      </c>
      <c r="G121" s="16" t="n">
        <v>4.9</v>
      </c>
      <c r="H121" s="17" t="n">
        <v>1722</v>
      </c>
      <c r="I121" s="14" t="s">
        <v>61</v>
      </c>
      <c r="J121" s="14" t="s">
        <v>46</v>
      </c>
    </row>
    <row r="122" customFormat="false" ht="15" hidden="false" customHeight="false" outlineLevel="0" collapsed="false">
      <c r="A122" s="14" t="n">
        <v>121</v>
      </c>
      <c r="B122" s="15" t="s">
        <v>339</v>
      </c>
      <c r="C122" s="15" t="s">
        <v>58</v>
      </c>
      <c r="D122" s="15" t="s">
        <v>337</v>
      </c>
      <c r="E122" s="15" t="s">
        <v>11</v>
      </c>
      <c r="F122" s="15" t="s">
        <v>340</v>
      </c>
      <c r="G122" s="16" t="n">
        <v>4.9</v>
      </c>
      <c r="H122" s="17" t="n">
        <v>2792</v>
      </c>
      <c r="I122" s="14" t="s">
        <v>61</v>
      </c>
      <c r="J122" s="14" t="s">
        <v>46</v>
      </c>
    </row>
    <row r="123" customFormat="false" ht="15" hidden="false" customHeight="false" outlineLevel="0" collapsed="false">
      <c r="A123" s="14" t="n">
        <v>122</v>
      </c>
      <c r="B123" s="15" t="s">
        <v>341</v>
      </c>
      <c r="C123" s="15" t="s">
        <v>58</v>
      </c>
      <c r="D123" s="15" t="s">
        <v>337</v>
      </c>
      <c r="E123" s="15" t="s">
        <v>11</v>
      </c>
      <c r="F123" s="15" t="s">
        <v>342</v>
      </c>
      <c r="G123" s="16" t="n">
        <v>4.8</v>
      </c>
      <c r="H123" s="17" t="n">
        <v>1947</v>
      </c>
      <c r="I123" s="14" t="s">
        <v>61</v>
      </c>
      <c r="J123" s="14" t="s">
        <v>56</v>
      </c>
    </row>
    <row r="124" customFormat="false" ht="15" hidden="false" customHeight="false" outlineLevel="0" collapsed="false">
      <c r="A124" s="14" t="n">
        <v>123</v>
      </c>
      <c r="B124" s="15" t="s">
        <v>343</v>
      </c>
      <c r="C124" s="15" t="s">
        <v>42</v>
      </c>
      <c r="D124" s="15" t="s">
        <v>337</v>
      </c>
      <c r="E124" s="15" t="s">
        <v>11</v>
      </c>
      <c r="F124" s="15" t="s">
        <v>344</v>
      </c>
      <c r="G124" s="16" t="n">
        <v>4.8</v>
      </c>
      <c r="H124" s="17" t="n">
        <v>2467</v>
      </c>
      <c r="I124" s="14" t="s">
        <v>127</v>
      </c>
      <c r="J124" s="14" t="s">
        <v>46</v>
      </c>
    </row>
    <row r="125" customFormat="false" ht="15" hidden="false" customHeight="false" outlineLevel="0" collapsed="false">
      <c r="A125" s="14" t="n">
        <v>124</v>
      </c>
      <c r="B125" s="15" t="s">
        <v>345</v>
      </c>
      <c r="C125" s="15" t="s">
        <v>42</v>
      </c>
      <c r="D125" s="15" t="s">
        <v>346</v>
      </c>
      <c r="E125" s="15" t="s">
        <v>11</v>
      </c>
      <c r="F125" s="15" t="s">
        <v>347</v>
      </c>
      <c r="G125" s="16" t="n">
        <v>4.7</v>
      </c>
      <c r="H125" s="17" t="n">
        <v>1199</v>
      </c>
      <c r="I125" s="14" t="s">
        <v>61</v>
      </c>
      <c r="J125" s="14" t="s">
        <v>46</v>
      </c>
    </row>
    <row r="126" customFormat="false" ht="15" hidden="false" customHeight="false" outlineLevel="0" collapsed="false">
      <c r="A126" s="14" t="n">
        <v>125</v>
      </c>
      <c r="B126" s="15" t="s">
        <v>348</v>
      </c>
      <c r="C126" s="15" t="s">
        <v>58</v>
      </c>
      <c r="D126" s="15" t="s">
        <v>349</v>
      </c>
      <c r="E126" s="15" t="s">
        <v>11</v>
      </c>
      <c r="F126" s="15" t="s">
        <v>350</v>
      </c>
      <c r="G126" s="16" t="n">
        <v>4.8</v>
      </c>
      <c r="H126" s="17" t="n">
        <v>2703</v>
      </c>
      <c r="I126" s="14" t="s">
        <v>61</v>
      </c>
      <c r="J126" s="14" t="s">
        <v>46</v>
      </c>
    </row>
    <row r="127" customFormat="false" ht="15" hidden="false" customHeight="false" outlineLevel="0" collapsed="false">
      <c r="A127" s="14" t="n">
        <v>126</v>
      </c>
      <c r="B127" s="15" t="s">
        <v>351</v>
      </c>
      <c r="C127" s="15" t="s">
        <v>58</v>
      </c>
      <c r="D127" s="15" t="s">
        <v>349</v>
      </c>
      <c r="E127" s="15" t="s">
        <v>11</v>
      </c>
      <c r="F127" s="15" t="s">
        <v>352</v>
      </c>
      <c r="G127" s="16" t="n">
        <v>4.2</v>
      </c>
      <c r="H127" s="17" t="n">
        <v>400</v>
      </c>
      <c r="I127" s="14" t="s">
        <v>61</v>
      </c>
      <c r="J127" s="14" t="s">
        <v>46</v>
      </c>
    </row>
    <row r="128" customFormat="false" ht="15" hidden="false" customHeight="false" outlineLevel="0" collapsed="false">
      <c r="A128" s="14" t="n">
        <v>127</v>
      </c>
      <c r="B128" s="15" t="s">
        <v>353</v>
      </c>
      <c r="C128" s="15" t="s">
        <v>42</v>
      </c>
      <c r="D128" s="15" t="s">
        <v>349</v>
      </c>
      <c r="E128" s="15" t="s">
        <v>11</v>
      </c>
      <c r="F128" s="15" t="s">
        <v>354</v>
      </c>
      <c r="G128" s="16" t="n">
        <v>4.6</v>
      </c>
      <c r="H128" s="17" t="n">
        <v>208</v>
      </c>
      <c r="I128" s="14" t="s">
        <v>61</v>
      </c>
      <c r="J128" s="14" t="s">
        <v>46</v>
      </c>
    </row>
    <row r="129" customFormat="false" ht="15" hidden="false" customHeight="false" outlineLevel="0" collapsed="false">
      <c r="A129" s="14" t="n">
        <v>128</v>
      </c>
      <c r="B129" s="15" t="s">
        <v>355</v>
      </c>
      <c r="C129" s="15" t="s">
        <v>58</v>
      </c>
      <c r="D129" s="15" t="s">
        <v>349</v>
      </c>
      <c r="E129" s="15" t="s">
        <v>11</v>
      </c>
      <c r="F129" s="15" t="s">
        <v>356</v>
      </c>
      <c r="G129" s="16" t="n">
        <v>4.4</v>
      </c>
      <c r="H129" s="17" t="n">
        <v>819</v>
      </c>
      <c r="I129" s="14" t="s">
        <v>61</v>
      </c>
      <c r="J129" s="14" t="s">
        <v>46</v>
      </c>
    </row>
    <row r="130" customFormat="false" ht="15" hidden="false" customHeight="false" outlineLevel="0" collapsed="false">
      <c r="A130" s="14" t="n">
        <v>129</v>
      </c>
      <c r="B130" s="15" t="s">
        <v>357</v>
      </c>
      <c r="C130" s="15" t="s">
        <v>58</v>
      </c>
      <c r="D130" s="15" t="s">
        <v>358</v>
      </c>
      <c r="E130" s="15" t="s">
        <v>11</v>
      </c>
      <c r="F130" s="15" t="s">
        <v>359</v>
      </c>
      <c r="G130" s="16" t="n">
        <v>4.7</v>
      </c>
      <c r="H130" s="17" t="n">
        <v>657</v>
      </c>
      <c r="I130" s="14" t="s">
        <v>61</v>
      </c>
      <c r="J130" s="14" t="s">
        <v>46</v>
      </c>
    </row>
    <row r="131" customFormat="false" ht="15" hidden="false" customHeight="false" outlineLevel="0" collapsed="false">
      <c r="A131" s="14" t="n">
        <v>130</v>
      </c>
      <c r="B131" s="15" t="s">
        <v>360</v>
      </c>
      <c r="C131" s="15" t="s">
        <v>58</v>
      </c>
      <c r="D131" s="15" t="s">
        <v>358</v>
      </c>
      <c r="E131" s="15" t="s">
        <v>11</v>
      </c>
      <c r="F131" s="15" t="s">
        <v>361</v>
      </c>
      <c r="G131" s="16" t="n">
        <v>5</v>
      </c>
      <c r="H131" s="17" t="n">
        <v>115</v>
      </c>
      <c r="I131" s="14" t="s">
        <v>127</v>
      </c>
      <c r="J131" s="14" t="s">
        <v>46</v>
      </c>
    </row>
    <row r="132" customFormat="false" ht="15" hidden="false" customHeight="false" outlineLevel="0" collapsed="false">
      <c r="A132" s="14" t="n">
        <v>131</v>
      </c>
      <c r="B132" s="15" t="s">
        <v>362</v>
      </c>
      <c r="C132" s="15" t="s">
        <v>58</v>
      </c>
      <c r="D132" s="15" t="s">
        <v>358</v>
      </c>
      <c r="E132" s="15" t="s">
        <v>11</v>
      </c>
      <c r="F132" s="15" t="s">
        <v>363</v>
      </c>
      <c r="G132" s="16" t="n">
        <v>4.8</v>
      </c>
      <c r="H132" s="17" t="n">
        <v>3584</v>
      </c>
      <c r="I132" s="14" t="s">
        <v>61</v>
      </c>
      <c r="J132" s="14" t="s">
        <v>46</v>
      </c>
    </row>
    <row r="133" customFormat="false" ht="15" hidden="false" customHeight="false" outlineLevel="0" collapsed="false">
      <c r="A133" s="14" t="n">
        <v>132</v>
      </c>
      <c r="B133" s="15" t="s">
        <v>364</v>
      </c>
      <c r="C133" s="15" t="s">
        <v>42</v>
      </c>
      <c r="D133" s="15" t="s">
        <v>358</v>
      </c>
      <c r="E133" s="15" t="s">
        <v>11</v>
      </c>
      <c r="F133" s="15" t="s">
        <v>365</v>
      </c>
      <c r="G133" s="16" t="n">
        <v>4.5</v>
      </c>
      <c r="H133" s="17" t="n">
        <v>537</v>
      </c>
      <c r="I133" s="14" t="s">
        <v>127</v>
      </c>
      <c r="J133" s="14" t="s">
        <v>46</v>
      </c>
    </row>
    <row r="134" customFormat="false" ht="15" hidden="false" customHeight="false" outlineLevel="0" collapsed="false">
      <c r="A134" s="14" t="n">
        <v>133</v>
      </c>
      <c r="B134" s="15" t="s">
        <v>366</v>
      </c>
      <c r="C134" s="15" t="s">
        <v>58</v>
      </c>
      <c r="D134" s="15" t="s">
        <v>358</v>
      </c>
      <c r="E134" s="15" t="s">
        <v>11</v>
      </c>
      <c r="F134" s="15" t="s">
        <v>328</v>
      </c>
      <c r="G134" s="16" t="n">
        <v>4.7</v>
      </c>
      <c r="H134" s="17" t="n">
        <v>501</v>
      </c>
      <c r="I134" s="14" t="s">
        <v>61</v>
      </c>
      <c r="J134" s="14" t="s">
        <v>46</v>
      </c>
    </row>
    <row r="135" customFormat="false" ht="15" hidden="false" customHeight="false" outlineLevel="0" collapsed="false">
      <c r="A135" s="14" t="n">
        <v>134</v>
      </c>
      <c r="B135" s="15" t="s">
        <v>367</v>
      </c>
      <c r="C135" s="15" t="s">
        <v>58</v>
      </c>
      <c r="D135" s="15" t="s">
        <v>358</v>
      </c>
      <c r="E135" s="15" t="s">
        <v>11</v>
      </c>
      <c r="F135" s="15" t="s">
        <v>368</v>
      </c>
      <c r="G135" s="16" t="n">
        <v>4.6</v>
      </c>
      <c r="H135" s="17" t="n">
        <v>11588</v>
      </c>
      <c r="I135" s="14" t="s">
        <v>61</v>
      </c>
      <c r="J135" s="14" t="s">
        <v>46</v>
      </c>
    </row>
    <row r="136" customFormat="false" ht="15" hidden="false" customHeight="false" outlineLevel="0" collapsed="false">
      <c r="A136" s="14" t="n">
        <v>135</v>
      </c>
      <c r="B136" s="15" t="s">
        <v>369</v>
      </c>
      <c r="C136" s="15" t="s">
        <v>58</v>
      </c>
      <c r="D136" s="15" t="s">
        <v>370</v>
      </c>
      <c r="E136" s="15" t="s">
        <v>11</v>
      </c>
      <c r="F136" s="15" t="s">
        <v>371</v>
      </c>
      <c r="G136" s="16" t="n">
        <v>4.9</v>
      </c>
      <c r="H136" s="17" t="n">
        <v>2334</v>
      </c>
      <c r="I136" s="14" t="s">
        <v>61</v>
      </c>
      <c r="J136" s="14" t="s">
        <v>46</v>
      </c>
    </row>
    <row r="137" customFormat="false" ht="15" hidden="false" customHeight="false" outlineLevel="0" collapsed="false">
      <c r="A137" s="14" t="n">
        <v>136</v>
      </c>
      <c r="B137" s="15" t="s">
        <v>372</v>
      </c>
      <c r="C137" s="15" t="s">
        <v>42</v>
      </c>
      <c r="D137" s="15" t="s">
        <v>370</v>
      </c>
      <c r="E137" s="15" t="s">
        <v>11</v>
      </c>
      <c r="F137" s="15" t="s">
        <v>373</v>
      </c>
      <c r="G137" s="16" t="n">
        <v>4.7</v>
      </c>
      <c r="H137" s="17" t="n">
        <v>1253</v>
      </c>
      <c r="I137" s="14" t="s">
        <v>61</v>
      </c>
      <c r="J137" s="14" t="s">
        <v>46</v>
      </c>
    </row>
    <row r="138" customFormat="false" ht="15" hidden="false" customHeight="false" outlineLevel="0" collapsed="false">
      <c r="A138" s="14" t="n">
        <v>137</v>
      </c>
      <c r="B138" s="15" t="s">
        <v>374</v>
      </c>
      <c r="C138" s="15" t="s">
        <v>58</v>
      </c>
      <c r="D138" s="15" t="s">
        <v>370</v>
      </c>
      <c r="E138" s="15" t="s">
        <v>11</v>
      </c>
      <c r="F138" s="15" t="s">
        <v>375</v>
      </c>
      <c r="G138" s="16" t="n">
        <v>4.7</v>
      </c>
      <c r="H138" s="17" t="n">
        <v>2032</v>
      </c>
      <c r="I138" s="14" t="s">
        <v>61</v>
      </c>
      <c r="J138" s="14" t="s">
        <v>46</v>
      </c>
    </row>
    <row r="139" customFormat="false" ht="15" hidden="false" customHeight="false" outlineLevel="0" collapsed="false">
      <c r="A139" s="14" t="n">
        <v>138</v>
      </c>
      <c r="B139" s="15" t="s">
        <v>376</v>
      </c>
      <c r="C139" s="15" t="s">
        <v>42</v>
      </c>
      <c r="D139" s="15" t="s">
        <v>370</v>
      </c>
      <c r="E139" s="15" t="s">
        <v>11</v>
      </c>
      <c r="F139" s="15" t="s">
        <v>377</v>
      </c>
      <c r="G139" s="16" t="n">
        <v>4.6</v>
      </c>
      <c r="H139" s="17" t="n">
        <v>495</v>
      </c>
      <c r="I139" s="14" t="s">
        <v>61</v>
      </c>
      <c r="J139" s="14" t="s">
        <v>46</v>
      </c>
    </row>
    <row r="140" customFormat="false" ht="15" hidden="false" customHeight="false" outlineLevel="0" collapsed="false">
      <c r="A140" s="14" t="n">
        <v>139</v>
      </c>
      <c r="B140" s="15" t="s">
        <v>378</v>
      </c>
      <c r="C140" s="15" t="s">
        <v>42</v>
      </c>
      <c r="D140" s="15" t="s">
        <v>379</v>
      </c>
      <c r="E140" s="15" t="s">
        <v>11</v>
      </c>
      <c r="F140" s="15" t="s">
        <v>380</v>
      </c>
      <c r="G140" s="16" t="n">
        <v>4.3</v>
      </c>
      <c r="H140" s="17" t="n">
        <v>374</v>
      </c>
      <c r="I140" s="14" t="s">
        <v>61</v>
      </c>
      <c r="J140" s="14" t="s">
        <v>46</v>
      </c>
    </row>
    <row r="141" customFormat="false" ht="15" hidden="false" customHeight="false" outlineLevel="0" collapsed="false">
      <c r="A141" s="14" t="n">
        <v>140</v>
      </c>
      <c r="B141" s="15" t="s">
        <v>381</v>
      </c>
      <c r="C141" s="15" t="s">
        <v>42</v>
      </c>
      <c r="D141" s="15" t="s">
        <v>379</v>
      </c>
      <c r="E141" s="15" t="s">
        <v>11</v>
      </c>
      <c r="F141" s="15" t="s">
        <v>382</v>
      </c>
      <c r="G141" s="16" t="n">
        <v>4.7</v>
      </c>
      <c r="H141" s="17" t="n">
        <v>964</v>
      </c>
      <c r="I141" s="14" t="s">
        <v>61</v>
      </c>
      <c r="J141" s="14" t="s">
        <v>46</v>
      </c>
    </row>
    <row r="142" customFormat="false" ht="15" hidden="false" customHeight="false" outlineLevel="0" collapsed="false">
      <c r="A142" s="14" t="n">
        <v>141</v>
      </c>
      <c r="B142" s="15" t="s">
        <v>383</v>
      </c>
      <c r="C142" s="15" t="s">
        <v>42</v>
      </c>
      <c r="D142" s="15" t="s">
        <v>379</v>
      </c>
      <c r="E142" s="15" t="s">
        <v>11</v>
      </c>
      <c r="F142" s="15" t="s">
        <v>384</v>
      </c>
      <c r="G142" s="16" t="n">
        <v>4.7</v>
      </c>
      <c r="H142" s="17" t="n">
        <v>26</v>
      </c>
      <c r="I142" s="14" t="s">
        <v>61</v>
      </c>
      <c r="J142" s="14" t="s">
        <v>46</v>
      </c>
    </row>
    <row r="143" customFormat="false" ht="15" hidden="false" customHeight="false" outlineLevel="0" collapsed="false">
      <c r="A143" s="14" t="n">
        <v>142</v>
      </c>
      <c r="B143" s="15" t="s">
        <v>385</v>
      </c>
      <c r="C143" s="15" t="s">
        <v>42</v>
      </c>
      <c r="D143" s="15" t="s">
        <v>379</v>
      </c>
      <c r="E143" s="15" t="s">
        <v>11</v>
      </c>
      <c r="F143" s="15" t="s">
        <v>386</v>
      </c>
      <c r="G143" s="16" t="n">
        <v>4.9</v>
      </c>
      <c r="H143" s="17" t="n">
        <v>141</v>
      </c>
      <c r="I143" s="14" t="s">
        <v>61</v>
      </c>
      <c r="J143" s="14" t="s">
        <v>46</v>
      </c>
    </row>
    <row r="144" customFormat="false" ht="15" hidden="false" customHeight="false" outlineLevel="0" collapsed="false">
      <c r="A144" s="14" t="n">
        <v>143</v>
      </c>
      <c r="B144" s="15" t="s">
        <v>387</v>
      </c>
      <c r="C144" s="15" t="s">
        <v>42</v>
      </c>
      <c r="D144" s="15" t="s">
        <v>379</v>
      </c>
      <c r="E144" s="15" t="s">
        <v>11</v>
      </c>
      <c r="F144" s="15" t="s">
        <v>388</v>
      </c>
      <c r="G144" s="16" t="n">
        <v>4.9</v>
      </c>
      <c r="H144" s="17" t="n">
        <v>319</v>
      </c>
      <c r="I144" s="14" t="s">
        <v>61</v>
      </c>
      <c r="J144" s="14" t="s">
        <v>46</v>
      </c>
    </row>
    <row r="145" customFormat="false" ht="15" hidden="false" customHeight="false" outlineLevel="0" collapsed="false">
      <c r="A145" s="14" t="n">
        <v>144</v>
      </c>
      <c r="B145" s="15" t="s">
        <v>389</v>
      </c>
      <c r="C145" s="15" t="s">
        <v>42</v>
      </c>
      <c r="D145" s="15" t="s">
        <v>390</v>
      </c>
      <c r="E145" s="15" t="s">
        <v>11</v>
      </c>
      <c r="F145" s="15" t="s">
        <v>391</v>
      </c>
      <c r="G145" s="16" t="n">
        <v>4.2</v>
      </c>
      <c r="H145" s="17" t="n">
        <v>1524</v>
      </c>
      <c r="I145" s="14" t="s">
        <v>127</v>
      </c>
      <c r="J145" s="14" t="s">
        <v>46</v>
      </c>
    </row>
    <row r="146" customFormat="false" ht="15" hidden="false" customHeight="false" outlineLevel="0" collapsed="false">
      <c r="A146" s="14" t="n">
        <v>145</v>
      </c>
      <c r="B146" s="15" t="s">
        <v>392</v>
      </c>
      <c r="C146" s="15" t="s">
        <v>42</v>
      </c>
      <c r="D146" s="15" t="s">
        <v>393</v>
      </c>
      <c r="E146" s="15" t="s">
        <v>11</v>
      </c>
      <c r="F146" s="15" t="s">
        <v>394</v>
      </c>
      <c r="G146" s="16" t="n">
        <v>4.2</v>
      </c>
      <c r="H146" s="17" t="n">
        <v>268</v>
      </c>
      <c r="I146" s="14" t="s">
        <v>228</v>
      </c>
      <c r="J146" s="14" t="s">
        <v>46</v>
      </c>
    </row>
    <row r="147" customFormat="false" ht="15" hidden="false" customHeight="false" outlineLevel="0" collapsed="false">
      <c r="A147" s="14" t="n">
        <v>146</v>
      </c>
      <c r="B147" s="15" t="s">
        <v>395</v>
      </c>
      <c r="C147" s="15" t="s">
        <v>42</v>
      </c>
      <c r="D147" s="15" t="s">
        <v>396</v>
      </c>
      <c r="E147" s="15" t="s">
        <v>11</v>
      </c>
      <c r="F147" s="15" t="s">
        <v>397</v>
      </c>
      <c r="G147" s="16" t="n">
        <v>4.8</v>
      </c>
      <c r="H147" s="17" t="n">
        <v>116</v>
      </c>
      <c r="I147" s="14" t="s">
        <v>61</v>
      </c>
      <c r="J147" s="14" t="s">
        <v>46</v>
      </c>
    </row>
    <row r="148" customFormat="false" ht="15" hidden="false" customHeight="false" outlineLevel="0" collapsed="false">
      <c r="A148" s="14" t="n">
        <v>147</v>
      </c>
      <c r="B148" s="15" t="s">
        <v>398</v>
      </c>
      <c r="C148" s="15" t="s">
        <v>58</v>
      </c>
      <c r="D148" s="15" t="s">
        <v>399</v>
      </c>
      <c r="E148" s="15" t="s">
        <v>11</v>
      </c>
      <c r="F148" s="15" t="s">
        <v>400</v>
      </c>
      <c r="G148" s="16" t="n">
        <v>4.8</v>
      </c>
      <c r="H148" s="17" t="n">
        <v>2887</v>
      </c>
      <c r="I148" s="14" t="s">
        <v>61</v>
      </c>
      <c r="J148" s="14" t="s">
        <v>46</v>
      </c>
    </row>
    <row r="149" customFormat="false" ht="15" hidden="false" customHeight="false" outlineLevel="0" collapsed="false">
      <c r="A149" s="14" t="n">
        <v>148</v>
      </c>
      <c r="B149" s="15" t="s">
        <v>401</v>
      </c>
      <c r="C149" s="15" t="s">
        <v>42</v>
      </c>
      <c r="D149" s="15" t="s">
        <v>402</v>
      </c>
      <c r="E149" s="15" t="s">
        <v>11</v>
      </c>
      <c r="F149" s="15" t="s">
        <v>403</v>
      </c>
      <c r="G149" s="16" t="n">
        <v>4.8</v>
      </c>
      <c r="H149" s="17" t="n">
        <v>2271</v>
      </c>
      <c r="I149" s="14" t="s">
        <v>228</v>
      </c>
      <c r="J149" s="14" t="s">
        <v>46</v>
      </c>
    </row>
    <row r="150" customFormat="false" ht="15" hidden="false" customHeight="false" outlineLevel="0" collapsed="false">
      <c r="A150" s="14" t="n">
        <v>149</v>
      </c>
      <c r="B150" s="15" t="s">
        <v>404</v>
      </c>
      <c r="C150" s="15" t="s">
        <v>42</v>
      </c>
      <c r="D150" s="15" t="s">
        <v>402</v>
      </c>
      <c r="E150" s="15" t="s">
        <v>11</v>
      </c>
      <c r="F150" s="15" t="s">
        <v>403</v>
      </c>
      <c r="G150" s="16" t="n">
        <v>4.7</v>
      </c>
      <c r="H150" s="17" t="n">
        <v>894</v>
      </c>
      <c r="I150" s="14" t="s">
        <v>61</v>
      </c>
      <c r="J150" s="14" t="s">
        <v>56</v>
      </c>
    </row>
    <row r="151" customFormat="false" ht="15" hidden="false" customHeight="false" outlineLevel="0" collapsed="false">
      <c r="A151" s="14" t="n">
        <v>150</v>
      </c>
      <c r="B151" s="15" t="s">
        <v>405</v>
      </c>
      <c r="C151" s="15" t="s">
        <v>42</v>
      </c>
      <c r="D151" s="15" t="s">
        <v>402</v>
      </c>
      <c r="E151" s="15" t="s">
        <v>11</v>
      </c>
      <c r="F151" s="15" t="s">
        <v>406</v>
      </c>
      <c r="G151" s="16" t="n">
        <v>4.9</v>
      </c>
      <c r="H151" s="17" t="n">
        <v>3883</v>
      </c>
      <c r="I151" s="14" t="s">
        <v>61</v>
      </c>
      <c r="J151" s="14" t="s">
        <v>46</v>
      </c>
    </row>
    <row r="152" customFormat="false" ht="15" hidden="false" customHeight="false" outlineLevel="0" collapsed="false">
      <c r="A152" s="14" t="n">
        <v>151</v>
      </c>
      <c r="B152" s="15" t="s">
        <v>407</v>
      </c>
      <c r="C152" s="15" t="s">
        <v>58</v>
      </c>
      <c r="D152" s="15" t="s">
        <v>408</v>
      </c>
      <c r="E152" s="15" t="s">
        <v>11</v>
      </c>
      <c r="F152" s="15" t="s">
        <v>409</v>
      </c>
      <c r="G152" s="16" t="n">
        <v>4.6</v>
      </c>
      <c r="H152" s="17" t="n">
        <v>4404</v>
      </c>
      <c r="I152" s="14" t="s">
        <v>127</v>
      </c>
      <c r="J152" s="14" t="s">
        <v>46</v>
      </c>
    </row>
    <row r="153" customFormat="false" ht="15" hidden="false" customHeight="false" outlineLevel="0" collapsed="false">
      <c r="A153" s="14" t="n">
        <v>152</v>
      </c>
      <c r="B153" s="15" t="s">
        <v>410</v>
      </c>
      <c r="C153" s="15" t="s">
        <v>52</v>
      </c>
      <c r="D153" s="15" t="s">
        <v>411</v>
      </c>
      <c r="E153" s="15" t="s">
        <v>11</v>
      </c>
      <c r="F153" s="15" t="s">
        <v>412</v>
      </c>
      <c r="G153" s="16" t="n">
        <v>4.9</v>
      </c>
      <c r="H153" s="17" t="n">
        <v>40</v>
      </c>
      <c r="I153" s="14" t="s">
        <v>55</v>
      </c>
      <c r="J153" s="14" t="s">
        <v>46</v>
      </c>
    </row>
    <row r="154" customFormat="false" ht="15" hidden="false" customHeight="false" outlineLevel="0" collapsed="false">
      <c r="A154" s="14" t="n">
        <v>153</v>
      </c>
      <c r="B154" s="15" t="s">
        <v>413</v>
      </c>
      <c r="C154" s="15" t="s">
        <v>42</v>
      </c>
      <c r="D154" s="15" t="s">
        <v>411</v>
      </c>
      <c r="E154" s="15" t="s">
        <v>11</v>
      </c>
      <c r="F154" s="15" t="s">
        <v>414</v>
      </c>
      <c r="G154" s="16" t="n">
        <v>4.6</v>
      </c>
      <c r="H154" s="17" t="n">
        <v>849</v>
      </c>
      <c r="I154" s="14" t="s">
        <v>55</v>
      </c>
      <c r="J154" s="14" t="s">
        <v>56</v>
      </c>
    </row>
    <row r="155" customFormat="false" ht="15" hidden="false" customHeight="false" outlineLevel="0" collapsed="false">
      <c r="A155" s="14" t="n">
        <v>154</v>
      </c>
      <c r="B155" s="15" t="s">
        <v>415</v>
      </c>
      <c r="C155" s="15" t="s">
        <v>58</v>
      </c>
      <c r="D155" s="15" t="s">
        <v>416</v>
      </c>
      <c r="E155" s="15" t="s">
        <v>11</v>
      </c>
      <c r="F155" s="15" t="s">
        <v>417</v>
      </c>
      <c r="G155" s="16" t="n">
        <v>4.2</v>
      </c>
      <c r="H155" s="17" t="n">
        <v>7124</v>
      </c>
      <c r="I155" s="14" t="s">
        <v>55</v>
      </c>
      <c r="J155" s="14" t="s">
        <v>46</v>
      </c>
    </row>
    <row r="156" customFormat="false" ht="15" hidden="false" customHeight="false" outlineLevel="0" collapsed="false">
      <c r="A156" s="14" t="n">
        <v>155</v>
      </c>
      <c r="B156" s="15" t="s">
        <v>418</v>
      </c>
      <c r="C156" s="15" t="s">
        <v>58</v>
      </c>
      <c r="D156" s="15" t="s">
        <v>416</v>
      </c>
      <c r="E156" s="15" t="s">
        <v>11</v>
      </c>
      <c r="F156" s="15" t="s">
        <v>419</v>
      </c>
      <c r="G156" s="16" t="n">
        <v>4</v>
      </c>
      <c r="H156" s="17" t="n">
        <v>660</v>
      </c>
      <c r="I156" s="14" t="s">
        <v>55</v>
      </c>
      <c r="J156" s="14" t="s">
        <v>56</v>
      </c>
    </row>
    <row r="157" customFormat="false" ht="15" hidden="false" customHeight="false" outlineLevel="0" collapsed="false">
      <c r="A157" s="14" t="n">
        <v>156</v>
      </c>
      <c r="B157" s="15" t="s">
        <v>420</v>
      </c>
      <c r="C157" s="15" t="s">
        <v>58</v>
      </c>
      <c r="D157" s="15" t="s">
        <v>416</v>
      </c>
      <c r="E157" s="15" t="s">
        <v>11</v>
      </c>
      <c r="F157" s="15" t="s">
        <v>421</v>
      </c>
      <c r="G157" s="16" t="n">
        <v>4.4</v>
      </c>
      <c r="H157" s="17" t="n">
        <v>84</v>
      </c>
      <c r="I157" s="14" t="s">
        <v>127</v>
      </c>
      <c r="J157" s="14" t="s">
        <v>46</v>
      </c>
    </row>
    <row r="158" customFormat="false" ht="15" hidden="false" customHeight="false" outlineLevel="0" collapsed="false">
      <c r="A158" s="14" t="n">
        <v>157</v>
      </c>
      <c r="B158" s="15" t="s">
        <v>422</v>
      </c>
      <c r="C158" s="15" t="s">
        <v>52</v>
      </c>
      <c r="D158" s="15" t="s">
        <v>423</v>
      </c>
      <c r="E158" s="15" t="s">
        <v>11</v>
      </c>
      <c r="F158" s="15" t="s">
        <v>424</v>
      </c>
      <c r="G158" s="16" t="n">
        <v>4.1</v>
      </c>
      <c r="H158" s="17" t="n">
        <v>10</v>
      </c>
      <c r="I158" s="14" t="s">
        <v>127</v>
      </c>
      <c r="J158" s="14" t="s">
        <v>56</v>
      </c>
    </row>
    <row r="159" customFormat="false" ht="15" hidden="false" customHeight="false" outlineLevel="0" collapsed="false">
      <c r="A159" s="14" t="n">
        <v>158</v>
      </c>
      <c r="B159" s="15" t="s">
        <v>425</v>
      </c>
      <c r="C159" s="15" t="s">
        <v>42</v>
      </c>
      <c r="D159" s="15" t="s">
        <v>423</v>
      </c>
      <c r="E159" s="15" t="s">
        <v>11</v>
      </c>
      <c r="F159" s="15" t="s">
        <v>426</v>
      </c>
      <c r="G159" s="16" t="n">
        <v>3.2</v>
      </c>
      <c r="H159" s="17" t="n">
        <v>40</v>
      </c>
      <c r="I159" s="14" t="s">
        <v>55</v>
      </c>
      <c r="J159" s="14" t="s">
        <v>56</v>
      </c>
    </row>
    <row r="160" customFormat="false" ht="15" hidden="false" customHeight="false" outlineLevel="0" collapsed="false">
      <c r="A160" s="14" t="n">
        <v>159</v>
      </c>
      <c r="B160" s="15" t="s">
        <v>427</v>
      </c>
      <c r="C160" s="15" t="s">
        <v>52</v>
      </c>
      <c r="D160" s="15" t="s">
        <v>423</v>
      </c>
      <c r="E160" s="15" t="s">
        <v>11</v>
      </c>
      <c r="F160" s="15" t="s">
        <v>428</v>
      </c>
      <c r="G160" s="16" t="n">
        <v>3.5</v>
      </c>
      <c r="H160" s="17" t="n">
        <v>15</v>
      </c>
      <c r="I160" s="14" t="s">
        <v>127</v>
      </c>
      <c r="J160" s="14" t="s">
        <v>56</v>
      </c>
    </row>
    <row r="161" customFormat="false" ht="15" hidden="false" customHeight="false" outlineLevel="0" collapsed="false">
      <c r="A161" s="14" t="n">
        <v>160</v>
      </c>
      <c r="B161" s="15" t="s">
        <v>429</v>
      </c>
      <c r="C161" s="15" t="s">
        <v>42</v>
      </c>
      <c r="D161" s="15" t="s">
        <v>423</v>
      </c>
      <c r="E161" s="15" t="s">
        <v>11</v>
      </c>
      <c r="F161" s="15" t="s">
        <v>430</v>
      </c>
      <c r="G161" s="16" t="n">
        <v>4.2</v>
      </c>
      <c r="H161" s="17" t="n">
        <v>74</v>
      </c>
      <c r="I161" s="14" t="s">
        <v>55</v>
      </c>
      <c r="J161" s="14" t="s">
        <v>56</v>
      </c>
    </row>
    <row r="162" customFormat="false" ht="15" hidden="false" customHeight="false" outlineLevel="0" collapsed="false">
      <c r="A162" s="14" t="n">
        <v>161</v>
      </c>
      <c r="B162" s="15" t="s">
        <v>431</v>
      </c>
      <c r="C162" s="15" t="s">
        <v>52</v>
      </c>
      <c r="D162" s="15" t="s">
        <v>423</v>
      </c>
      <c r="E162" s="15" t="s">
        <v>11</v>
      </c>
      <c r="F162" s="15" t="s">
        <v>432</v>
      </c>
      <c r="G162" s="16" t="n">
        <v>4.1</v>
      </c>
      <c r="H162" s="17" t="n">
        <v>64</v>
      </c>
      <c r="I162" s="14" t="s">
        <v>55</v>
      </c>
      <c r="J162" s="14" t="s">
        <v>56</v>
      </c>
    </row>
    <row r="163" customFormat="false" ht="15" hidden="false" customHeight="false" outlineLevel="0" collapsed="false">
      <c r="A163" s="14" t="n">
        <v>162</v>
      </c>
      <c r="B163" s="15" t="s">
        <v>433</v>
      </c>
      <c r="C163" s="15" t="s">
        <v>52</v>
      </c>
      <c r="D163" s="15" t="s">
        <v>423</v>
      </c>
      <c r="E163" s="15" t="s">
        <v>11</v>
      </c>
      <c r="F163" s="15" t="s">
        <v>434</v>
      </c>
      <c r="G163" s="16" t="n">
        <v>3.3</v>
      </c>
      <c r="H163" s="17" t="n">
        <v>19</v>
      </c>
      <c r="I163" s="14" t="s">
        <v>55</v>
      </c>
      <c r="J163" s="14" t="s">
        <v>46</v>
      </c>
    </row>
    <row r="164" customFormat="false" ht="15" hidden="false" customHeight="false" outlineLevel="0" collapsed="false">
      <c r="A164" s="14" t="n">
        <v>163</v>
      </c>
      <c r="B164" s="15" t="s">
        <v>435</v>
      </c>
      <c r="C164" s="15" t="s">
        <v>58</v>
      </c>
      <c r="D164" s="15" t="s">
        <v>436</v>
      </c>
      <c r="E164" s="15" t="s">
        <v>11</v>
      </c>
      <c r="F164" s="15" t="s">
        <v>437</v>
      </c>
      <c r="G164" s="16" t="n">
        <v>4</v>
      </c>
      <c r="H164" s="17" t="n">
        <v>127</v>
      </c>
      <c r="I164" s="14" t="s">
        <v>55</v>
      </c>
      <c r="J164" s="14" t="s">
        <v>56</v>
      </c>
    </row>
    <row r="165" customFormat="false" ht="15" hidden="false" customHeight="false" outlineLevel="0" collapsed="false">
      <c r="A165" s="14" t="n">
        <v>164</v>
      </c>
      <c r="B165" s="15" t="s">
        <v>438</v>
      </c>
      <c r="C165" s="15" t="s">
        <v>52</v>
      </c>
      <c r="D165" s="15" t="s">
        <v>436</v>
      </c>
      <c r="E165" s="15" t="s">
        <v>11</v>
      </c>
      <c r="F165" s="15" t="s">
        <v>127</v>
      </c>
      <c r="G165" s="16" t="n">
        <v>4.3</v>
      </c>
      <c r="H165" s="17" t="n">
        <v>93</v>
      </c>
      <c r="I165" s="14" t="s">
        <v>55</v>
      </c>
      <c r="J165" s="14" t="s">
        <v>56</v>
      </c>
    </row>
    <row r="166" customFormat="false" ht="15" hidden="false" customHeight="false" outlineLevel="0" collapsed="false">
      <c r="A166" s="14" t="n">
        <v>165</v>
      </c>
      <c r="B166" s="15" t="s">
        <v>439</v>
      </c>
      <c r="C166" s="15" t="s">
        <v>58</v>
      </c>
      <c r="D166" s="15" t="s">
        <v>440</v>
      </c>
      <c r="E166" s="15" t="s">
        <v>11</v>
      </c>
      <c r="F166" s="15" t="s">
        <v>441</v>
      </c>
      <c r="G166" s="16" t="n">
        <v>4.7</v>
      </c>
      <c r="H166" s="17" t="n">
        <v>6531</v>
      </c>
      <c r="I166" s="14" t="s">
        <v>61</v>
      </c>
      <c r="J166" s="14" t="s">
        <v>46</v>
      </c>
    </row>
    <row r="167" customFormat="false" ht="15" hidden="false" customHeight="false" outlineLevel="0" collapsed="false">
      <c r="A167" s="14" t="n">
        <v>166</v>
      </c>
      <c r="B167" s="15" t="s">
        <v>442</v>
      </c>
      <c r="C167" s="15" t="s">
        <v>42</v>
      </c>
      <c r="D167" s="15" t="s">
        <v>443</v>
      </c>
      <c r="E167" s="15" t="s">
        <v>11</v>
      </c>
      <c r="F167" s="15" t="s">
        <v>444</v>
      </c>
      <c r="G167" s="16" t="n">
        <v>4.9</v>
      </c>
      <c r="H167" s="17" t="n">
        <v>75</v>
      </c>
      <c r="I167" s="14" t="s">
        <v>55</v>
      </c>
      <c r="J167" s="14" t="s">
        <v>46</v>
      </c>
    </row>
    <row r="168" customFormat="false" ht="15" hidden="false" customHeight="false" outlineLevel="0" collapsed="false">
      <c r="A168" s="14" t="n">
        <v>167</v>
      </c>
      <c r="B168" s="15" t="s">
        <v>445</v>
      </c>
      <c r="C168" s="15" t="s">
        <v>58</v>
      </c>
      <c r="D168" s="15" t="s">
        <v>446</v>
      </c>
      <c r="E168" s="15" t="s">
        <v>11</v>
      </c>
      <c r="F168" s="15" t="s">
        <v>447</v>
      </c>
      <c r="G168" s="16" t="n">
        <v>4.4</v>
      </c>
      <c r="H168" s="17" t="n">
        <v>5712</v>
      </c>
      <c r="I168" s="14" t="s">
        <v>61</v>
      </c>
      <c r="J168" s="14" t="s">
        <v>46</v>
      </c>
    </row>
    <row r="169" customFormat="false" ht="15" hidden="false" customHeight="false" outlineLevel="0" collapsed="false">
      <c r="A169" s="14" t="n">
        <v>168</v>
      </c>
      <c r="B169" s="15" t="s">
        <v>448</v>
      </c>
      <c r="C169" s="15" t="s">
        <v>58</v>
      </c>
      <c r="D169" s="15" t="s">
        <v>446</v>
      </c>
      <c r="E169" s="15" t="s">
        <v>11</v>
      </c>
      <c r="F169" s="15" t="s">
        <v>449</v>
      </c>
      <c r="G169" s="16" t="n">
        <v>4.6</v>
      </c>
      <c r="H169" s="17" t="n">
        <v>2394</v>
      </c>
      <c r="I169" s="14" t="s">
        <v>61</v>
      </c>
      <c r="J169" s="14" t="s">
        <v>46</v>
      </c>
    </row>
    <row r="170" customFormat="false" ht="15" hidden="false" customHeight="false" outlineLevel="0" collapsed="false">
      <c r="A170" s="14" t="n">
        <v>169</v>
      </c>
      <c r="B170" s="15" t="s">
        <v>450</v>
      </c>
      <c r="C170" s="15" t="s">
        <v>58</v>
      </c>
      <c r="D170" s="15" t="s">
        <v>451</v>
      </c>
      <c r="E170" s="15" t="s">
        <v>11</v>
      </c>
      <c r="F170" s="15" t="s">
        <v>452</v>
      </c>
      <c r="G170" s="16" t="n">
        <v>4.6</v>
      </c>
      <c r="H170" s="17" t="n">
        <v>326</v>
      </c>
      <c r="I170" s="14" t="s">
        <v>61</v>
      </c>
      <c r="J170" s="14" t="s">
        <v>46</v>
      </c>
    </row>
    <row r="171" customFormat="false" ht="15" hidden="false" customHeight="false" outlineLevel="0" collapsed="false">
      <c r="A171" s="14" t="n">
        <v>170</v>
      </c>
      <c r="B171" s="15" t="s">
        <v>453</v>
      </c>
      <c r="C171" s="15" t="s">
        <v>42</v>
      </c>
      <c r="D171" s="15" t="s">
        <v>454</v>
      </c>
      <c r="E171" s="15" t="s">
        <v>11</v>
      </c>
      <c r="F171" s="15" t="s">
        <v>455</v>
      </c>
      <c r="G171" s="16" t="n">
        <v>4.5</v>
      </c>
      <c r="H171" s="17" t="n">
        <v>4332</v>
      </c>
      <c r="I171" s="14" t="s">
        <v>61</v>
      </c>
      <c r="J171" s="14" t="s">
        <v>46</v>
      </c>
    </row>
    <row r="172" customFormat="false" ht="15" hidden="false" customHeight="false" outlineLevel="0" collapsed="false">
      <c r="A172" s="14" t="n">
        <v>171</v>
      </c>
      <c r="B172" s="15" t="s">
        <v>456</v>
      </c>
      <c r="C172" s="15" t="s">
        <v>42</v>
      </c>
      <c r="D172" s="15" t="s">
        <v>454</v>
      </c>
      <c r="E172" s="15" t="s">
        <v>11</v>
      </c>
      <c r="F172" s="15" t="s">
        <v>457</v>
      </c>
      <c r="G172" s="16" t="n">
        <v>4.7</v>
      </c>
      <c r="H172" s="17" t="n">
        <v>1182</v>
      </c>
      <c r="I172" s="14" t="s">
        <v>61</v>
      </c>
      <c r="J172" s="14" t="s">
        <v>46</v>
      </c>
    </row>
    <row r="173" customFormat="false" ht="15" hidden="false" customHeight="false" outlineLevel="0" collapsed="false">
      <c r="A173" s="14" t="n">
        <v>172</v>
      </c>
      <c r="B173" s="15" t="s">
        <v>458</v>
      </c>
      <c r="C173" s="15" t="s">
        <v>58</v>
      </c>
      <c r="D173" s="15" t="s">
        <v>459</v>
      </c>
      <c r="E173" s="15" t="s">
        <v>11</v>
      </c>
      <c r="F173" s="15" t="s">
        <v>460</v>
      </c>
      <c r="G173" s="16" t="n">
        <v>4.8</v>
      </c>
      <c r="H173" s="17" t="n">
        <v>1452</v>
      </c>
      <c r="I173" s="14" t="s">
        <v>228</v>
      </c>
      <c r="J173" s="14" t="s">
        <v>46</v>
      </c>
    </row>
    <row r="174" customFormat="false" ht="15" hidden="false" customHeight="false" outlineLevel="0" collapsed="false">
      <c r="A174" s="14" t="n">
        <v>173</v>
      </c>
      <c r="B174" s="15" t="s">
        <v>461</v>
      </c>
      <c r="C174" s="15" t="s">
        <v>58</v>
      </c>
      <c r="D174" s="15" t="s">
        <v>459</v>
      </c>
      <c r="E174" s="15" t="s">
        <v>11</v>
      </c>
      <c r="F174" s="15" t="s">
        <v>462</v>
      </c>
      <c r="G174" s="16" t="n">
        <v>4.6</v>
      </c>
      <c r="H174" s="17" t="n">
        <v>1099</v>
      </c>
      <c r="I174" s="14" t="s">
        <v>61</v>
      </c>
      <c r="J174" s="14" t="s">
        <v>46</v>
      </c>
    </row>
    <row r="175" customFormat="false" ht="15" hidden="false" customHeight="false" outlineLevel="0" collapsed="false">
      <c r="A175" s="14" t="n">
        <v>174</v>
      </c>
      <c r="B175" s="15" t="s">
        <v>463</v>
      </c>
      <c r="C175" s="15" t="s">
        <v>42</v>
      </c>
      <c r="D175" s="15" t="s">
        <v>464</v>
      </c>
      <c r="E175" s="15" t="s">
        <v>11</v>
      </c>
      <c r="F175" s="15" t="s">
        <v>465</v>
      </c>
      <c r="G175" s="16" t="n">
        <v>4.9</v>
      </c>
      <c r="H175" s="17" t="n">
        <v>2151</v>
      </c>
      <c r="I175" s="14" t="s">
        <v>228</v>
      </c>
      <c r="J175" s="14" t="s">
        <v>46</v>
      </c>
    </row>
    <row r="176" customFormat="false" ht="15" hidden="false" customHeight="false" outlineLevel="0" collapsed="false">
      <c r="A176" s="14" t="n">
        <v>175</v>
      </c>
      <c r="B176" s="15" t="s">
        <v>466</v>
      </c>
      <c r="C176" s="15" t="s">
        <v>58</v>
      </c>
      <c r="D176" s="15" t="s">
        <v>464</v>
      </c>
      <c r="E176" s="15" t="s">
        <v>11</v>
      </c>
      <c r="F176" s="15" t="s">
        <v>467</v>
      </c>
      <c r="G176" s="16" t="n">
        <v>4.7</v>
      </c>
      <c r="H176" s="17" t="n">
        <v>17494</v>
      </c>
      <c r="I176" s="14" t="s">
        <v>61</v>
      </c>
      <c r="J176" s="14" t="s">
        <v>46</v>
      </c>
    </row>
    <row r="177" customFormat="false" ht="15" hidden="false" customHeight="false" outlineLevel="0" collapsed="false">
      <c r="A177" s="14" t="n">
        <v>176</v>
      </c>
      <c r="B177" s="15" t="s">
        <v>468</v>
      </c>
      <c r="C177" s="15" t="s">
        <v>58</v>
      </c>
      <c r="D177" s="15" t="s">
        <v>469</v>
      </c>
      <c r="E177" s="15" t="s">
        <v>11</v>
      </c>
      <c r="F177" s="15" t="s">
        <v>470</v>
      </c>
      <c r="G177" s="16" t="n">
        <v>4.9</v>
      </c>
      <c r="H177" s="17" t="n">
        <v>8450</v>
      </c>
      <c r="I177" s="14" t="s">
        <v>61</v>
      </c>
      <c r="J177" s="14" t="s">
        <v>46</v>
      </c>
    </row>
    <row r="178" customFormat="false" ht="15" hidden="false" customHeight="false" outlineLevel="0" collapsed="false">
      <c r="A178" s="14" t="n">
        <v>177</v>
      </c>
      <c r="B178" s="15" t="s">
        <v>471</v>
      </c>
      <c r="C178" s="15" t="s">
        <v>58</v>
      </c>
      <c r="D178" s="15" t="s">
        <v>469</v>
      </c>
      <c r="E178" s="15" t="s">
        <v>11</v>
      </c>
      <c r="F178" s="15" t="s">
        <v>472</v>
      </c>
      <c r="G178" s="16" t="n">
        <v>4.6</v>
      </c>
      <c r="H178" s="17" t="n">
        <v>9035</v>
      </c>
      <c r="I178" s="14" t="s">
        <v>127</v>
      </c>
      <c r="J178" s="14" t="s">
        <v>56</v>
      </c>
    </row>
    <row r="179" customFormat="false" ht="15" hidden="false" customHeight="false" outlineLevel="0" collapsed="false">
      <c r="A179" s="14" t="n">
        <v>178</v>
      </c>
      <c r="B179" s="15" t="s">
        <v>473</v>
      </c>
      <c r="C179" s="15" t="s">
        <v>58</v>
      </c>
      <c r="D179" s="15" t="s">
        <v>469</v>
      </c>
      <c r="E179" s="15" t="s">
        <v>11</v>
      </c>
      <c r="F179" s="15" t="s">
        <v>474</v>
      </c>
      <c r="G179" s="16" t="n">
        <v>4.7</v>
      </c>
      <c r="H179" s="17" t="n">
        <v>12722</v>
      </c>
      <c r="I179" s="14" t="s">
        <v>61</v>
      </c>
      <c r="J179" s="14" t="s">
        <v>46</v>
      </c>
    </row>
    <row r="180" customFormat="false" ht="15" hidden="false" customHeight="false" outlineLevel="0" collapsed="false">
      <c r="A180" s="14" t="n">
        <v>179</v>
      </c>
      <c r="B180" s="15" t="s">
        <v>475</v>
      </c>
      <c r="C180" s="15" t="s">
        <v>42</v>
      </c>
      <c r="D180" s="15" t="s">
        <v>476</v>
      </c>
      <c r="E180" s="15" t="s">
        <v>11</v>
      </c>
      <c r="F180" s="15" t="s">
        <v>477</v>
      </c>
      <c r="G180" s="16" t="n">
        <v>4.8</v>
      </c>
      <c r="H180" s="17" t="n">
        <v>4049</v>
      </c>
      <c r="I180" s="14" t="s">
        <v>61</v>
      </c>
      <c r="J180" s="14" t="s">
        <v>46</v>
      </c>
    </row>
    <row r="181" customFormat="false" ht="15" hidden="false" customHeight="false" outlineLevel="0" collapsed="false">
      <c r="A181" s="14" t="n">
        <v>180</v>
      </c>
      <c r="B181" s="15" t="s">
        <v>478</v>
      </c>
      <c r="C181" s="15" t="s">
        <v>58</v>
      </c>
      <c r="D181" s="15" t="s">
        <v>479</v>
      </c>
      <c r="E181" s="15" t="s">
        <v>11</v>
      </c>
      <c r="F181" s="15" t="s">
        <v>480</v>
      </c>
      <c r="G181" s="16" t="n">
        <v>4.6</v>
      </c>
      <c r="H181" s="17" t="n">
        <v>866</v>
      </c>
      <c r="I181" s="14" t="s">
        <v>45</v>
      </c>
      <c r="J181" s="14" t="s">
        <v>46</v>
      </c>
    </row>
    <row r="182" customFormat="false" ht="15" hidden="false" customHeight="false" outlineLevel="0" collapsed="false">
      <c r="A182" s="14" t="n">
        <v>181</v>
      </c>
      <c r="B182" s="15" t="s">
        <v>481</v>
      </c>
      <c r="C182" s="15" t="s">
        <v>42</v>
      </c>
      <c r="D182" s="15" t="s">
        <v>482</v>
      </c>
      <c r="E182" s="15" t="s">
        <v>11</v>
      </c>
      <c r="F182" s="15" t="s">
        <v>483</v>
      </c>
      <c r="G182" s="16" t="n">
        <v>4.7</v>
      </c>
      <c r="H182" s="17" t="n">
        <v>39</v>
      </c>
      <c r="I182" s="14" t="s">
        <v>55</v>
      </c>
      <c r="J182" s="14" t="s">
        <v>56</v>
      </c>
    </row>
    <row r="183" customFormat="false" ht="15" hidden="false" customHeight="false" outlineLevel="0" collapsed="false">
      <c r="A183" s="14" t="n">
        <v>182</v>
      </c>
      <c r="B183" s="15" t="s">
        <v>484</v>
      </c>
      <c r="C183" s="15" t="s">
        <v>58</v>
      </c>
      <c r="D183" s="15" t="s">
        <v>482</v>
      </c>
      <c r="E183" s="15" t="s">
        <v>11</v>
      </c>
      <c r="F183" s="15" t="s">
        <v>485</v>
      </c>
      <c r="G183" s="16" t="n">
        <v>4.3</v>
      </c>
      <c r="H183" s="17" t="n">
        <v>512</v>
      </c>
      <c r="I183" s="14" t="s">
        <v>55</v>
      </c>
      <c r="J183" s="14" t="s">
        <v>56</v>
      </c>
    </row>
    <row r="184" customFormat="false" ht="15" hidden="false" customHeight="false" outlineLevel="0" collapsed="false">
      <c r="A184" s="14" t="n">
        <v>183</v>
      </c>
      <c r="B184" s="15" t="s">
        <v>486</v>
      </c>
      <c r="C184" s="15" t="s">
        <v>42</v>
      </c>
      <c r="D184" s="15" t="s">
        <v>487</v>
      </c>
      <c r="E184" s="15" t="s">
        <v>11</v>
      </c>
      <c r="F184" s="15" t="s">
        <v>488</v>
      </c>
      <c r="G184" s="16" t="n">
        <v>4.6</v>
      </c>
      <c r="H184" s="17" t="n">
        <v>521</v>
      </c>
      <c r="I184" s="14" t="s">
        <v>61</v>
      </c>
      <c r="J184" s="14" t="s">
        <v>46</v>
      </c>
    </row>
    <row r="185" customFormat="false" ht="15" hidden="false" customHeight="false" outlineLevel="0" collapsed="false">
      <c r="A185" s="14" t="n">
        <v>184</v>
      </c>
      <c r="B185" s="15" t="s">
        <v>489</v>
      </c>
      <c r="C185" s="15" t="s">
        <v>42</v>
      </c>
      <c r="D185" s="15" t="s">
        <v>490</v>
      </c>
      <c r="E185" s="15" t="s">
        <v>11</v>
      </c>
      <c r="F185" s="15" t="s">
        <v>491</v>
      </c>
      <c r="G185" s="16" t="n">
        <v>4.9</v>
      </c>
      <c r="H185" s="17" t="n">
        <v>83</v>
      </c>
      <c r="I185" s="14" t="s">
        <v>61</v>
      </c>
      <c r="J185" s="14" t="s">
        <v>46</v>
      </c>
    </row>
    <row r="186" customFormat="false" ht="15" hidden="false" customHeight="false" outlineLevel="0" collapsed="false">
      <c r="A186" s="14" t="n">
        <v>185</v>
      </c>
      <c r="B186" s="15" t="s">
        <v>492</v>
      </c>
      <c r="C186" s="15" t="s">
        <v>42</v>
      </c>
      <c r="D186" s="15" t="s">
        <v>493</v>
      </c>
      <c r="E186" s="15" t="s">
        <v>11</v>
      </c>
      <c r="F186" s="15" t="s">
        <v>494</v>
      </c>
      <c r="G186" s="16" t="n">
        <v>4.6</v>
      </c>
      <c r="H186" s="17" t="n">
        <v>821</v>
      </c>
      <c r="I186" s="14" t="s">
        <v>228</v>
      </c>
      <c r="J186" s="14" t="s">
        <v>46</v>
      </c>
    </row>
    <row r="187" customFormat="false" ht="15" hidden="false" customHeight="false" outlineLevel="0" collapsed="false">
      <c r="A187" s="14" t="n">
        <v>186</v>
      </c>
      <c r="B187" s="15" t="s">
        <v>495</v>
      </c>
      <c r="C187" s="15" t="s">
        <v>52</v>
      </c>
      <c r="D187" s="15" t="s">
        <v>496</v>
      </c>
      <c r="E187" s="15" t="s">
        <v>11</v>
      </c>
      <c r="F187" s="15" t="s">
        <v>497</v>
      </c>
      <c r="G187" s="16" t="n">
        <v>3.9</v>
      </c>
      <c r="H187" s="17" t="n">
        <v>346</v>
      </c>
      <c r="I187" s="14" t="s">
        <v>55</v>
      </c>
      <c r="J187" s="14" t="s">
        <v>46</v>
      </c>
    </row>
    <row r="188" customFormat="false" ht="15" hidden="false" customHeight="false" outlineLevel="0" collapsed="false">
      <c r="A188" s="14" t="n">
        <v>187</v>
      </c>
      <c r="B188" s="15" t="s">
        <v>498</v>
      </c>
      <c r="C188" s="15" t="s">
        <v>42</v>
      </c>
      <c r="D188" s="15" t="s">
        <v>496</v>
      </c>
      <c r="E188" s="15" t="s">
        <v>11</v>
      </c>
      <c r="F188" s="15" t="s">
        <v>499</v>
      </c>
      <c r="G188" s="16" t="n">
        <v>4.7</v>
      </c>
      <c r="H188" s="17" t="n">
        <v>49</v>
      </c>
      <c r="I188" s="14" t="s">
        <v>61</v>
      </c>
      <c r="J188" s="14" t="s">
        <v>46</v>
      </c>
    </row>
    <row r="189" customFormat="false" ht="15" hidden="false" customHeight="false" outlineLevel="0" collapsed="false">
      <c r="A189" s="14" t="n">
        <v>188</v>
      </c>
      <c r="B189" s="15" t="s">
        <v>500</v>
      </c>
      <c r="C189" s="15" t="s">
        <v>52</v>
      </c>
      <c r="D189" s="15" t="s">
        <v>496</v>
      </c>
      <c r="E189" s="15" t="s">
        <v>11</v>
      </c>
      <c r="F189" s="15" t="s">
        <v>501</v>
      </c>
      <c r="G189" s="16" t="n">
        <v>3.9</v>
      </c>
      <c r="H189" s="17" t="n">
        <v>717</v>
      </c>
      <c r="I189" s="14" t="s">
        <v>55</v>
      </c>
      <c r="J189" s="14" t="s">
        <v>56</v>
      </c>
    </row>
    <row r="190" customFormat="false" ht="15" hidden="false" customHeight="false" outlineLevel="0" collapsed="false">
      <c r="A190" s="14" t="n">
        <v>189</v>
      </c>
      <c r="B190" s="15" t="s">
        <v>502</v>
      </c>
      <c r="C190" s="15" t="s">
        <v>52</v>
      </c>
      <c r="D190" s="15" t="s">
        <v>496</v>
      </c>
      <c r="E190" s="15" t="s">
        <v>11</v>
      </c>
      <c r="F190" s="15" t="s">
        <v>503</v>
      </c>
      <c r="G190" s="16" t="n">
        <v>3.3</v>
      </c>
      <c r="H190" s="17" t="n">
        <v>504</v>
      </c>
      <c r="I190" s="14" t="s">
        <v>55</v>
      </c>
      <c r="J190" s="14" t="s">
        <v>56</v>
      </c>
    </row>
    <row r="191" customFormat="false" ht="15" hidden="false" customHeight="false" outlineLevel="0" collapsed="false">
      <c r="A191" s="14" t="n">
        <v>190</v>
      </c>
      <c r="B191" s="15" t="s">
        <v>504</v>
      </c>
      <c r="C191" s="15" t="s">
        <v>58</v>
      </c>
      <c r="D191" s="15" t="s">
        <v>505</v>
      </c>
      <c r="E191" s="15" t="s">
        <v>11</v>
      </c>
      <c r="F191" s="15" t="s">
        <v>506</v>
      </c>
      <c r="G191" s="16" t="n">
        <v>4.8</v>
      </c>
      <c r="H191" s="17" t="n">
        <v>3530</v>
      </c>
      <c r="I191" s="14" t="s">
        <v>61</v>
      </c>
      <c r="J191" s="14" t="s">
        <v>46</v>
      </c>
    </row>
    <row r="192" customFormat="false" ht="15" hidden="false" customHeight="false" outlineLevel="0" collapsed="false">
      <c r="A192" s="14" t="n">
        <v>191</v>
      </c>
      <c r="B192" s="15" t="s">
        <v>507</v>
      </c>
      <c r="C192" s="15" t="s">
        <v>42</v>
      </c>
      <c r="D192" s="15" t="s">
        <v>505</v>
      </c>
      <c r="E192" s="15" t="s">
        <v>11</v>
      </c>
      <c r="F192" s="15" t="s">
        <v>508</v>
      </c>
      <c r="G192" s="16" t="n">
        <v>4.6</v>
      </c>
      <c r="H192" s="17" t="n">
        <v>1006</v>
      </c>
      <c r="I192" s="14" t="s">
        <v>127</v>
      </c>
      <c r="J192" s="14" t="s">
        <v>46</v>
      </c>
    </row>
    <row r="193" customFormat="false" ht="15" hidden="false" customHeight="false" outlineLevel="0" collapsed="false">
      <c r="A193" s="14" t="n">
        <v>192</v>
      </c>
      <c r="B193" s="15" t="s">
        <v>509</v>
      </c>
      <c r="C193" s="15" t="s">
        <v>58</v>
      </c>
      <c r="D193" s="15" t="s">
        <v>510</v>
      </c>
      <c r="E193" s="15" t="s">
        <v>11</v>
      </c>
      <c r="F193" s="15" t="s">
        <v>511</v>
      </c>
      <c r="G193" s="16" t="n">
        <v>4.9</v>
      </c>
      <c r="H193" s="17" t="n">
        <v>12641</v>
      </c>
      <c r="I193" s="14" t="s">
        <v>61</v>
      </c>
      <c r="J193" s="14" t="s">
        <v>46</v>
      </c>
    </row>
    <row r="194" customFormat="false" ht="15" hidden="false" customHeight="false" outlineLevel="0" collapsed="false">
      <c r="A194" s="14" t="n">
        <v>193</v>
      </c>
      <c r="B194" s="15" t="s">
        <v>512</v>
      </c>
      <c r="C194" s="15" t="s">
        <v>58</v>
      </c>
      <c r="D194" s="15" t="s">
        <v>510</v>
      </c>
      <c r="E194" s="15" t="s">
        <v>11</v>
      </c>
      <c r="F194" s="15" t="s">
        <v>513</v>
      </c>
      <c r="G194" s="16" t="n">
        <v>4.8</v>
      </c>
      <c r="H194" s="17" t="n">
        <v>1063</v>
      </c>
      <c r="I194" s="14" t="s">
        <v>61</v>
      </c>
      <c r="J194" s="14" t="s">
        <v>46</v>
      </c>
    </row>
    <row r="195" customFormat="false" ht="15" hidden="false" customHeight="false" outlineLevel="0" collapsed="false">
      <c r="A195" s="14" t="n">
        <v>194</v>
      </c>
      <c r="B195" s="15" t="s">
        <v>514</v>
      </c>
      <c r="C195" s="15" t="s">
        <v>42</v>
      </c>
      <c r="D195" s="15" t="s">
        <v>515</v>
      </c>
      <c r="E195" s="15" t="s">
        <v>11</v>
      </c>
      <c r="F195" s="15" t="s">
        <v>516</v>
      </c>
      <c r="G195" s="16" t="n">
        <v>4.5</v>
      </c>
      <c r="H195" s="17" t="n">
        <v>430</v>
      </c>
      <c r="I195" s="14" t="s">
        <v>61</v>
      </c>
      <c r="J195" s="14" t="s">
        <v>46</v>
      </c>
    </row>
    <row r="196" customFormat="false" ht="15" hidden="false" customHeight="false" outlineLevel="0" collapsed="false">
      <c r="A196" s="14" t="n">
        <v>195</v>
      </c>
      <c r="B196" s="15" t="s">
        <v>517</v>
      </c>
      <c r="C196" s="15" t="s">
        <v>58</v>
      </c>
      <c r="D196" s="15" t="s">
        <v>518</v>
      </c>
      <c r="E196" s="15" t="s">
        <v>11</v>
      </c>
      <c r="F196" s="15" t="s">
        <v>519</v>
      </c>
      <c r="G196" s="16" t="n">
        <v>4.1</v>
      </c>
      <c r="H196" s="17" t="n">
        <v>541</v>
      </c>
      <c r="I196" s="14" t="s">
        <v>55</v>
      </c>
      <c r="J196" s="14" t="s">
        <v>46</v>
      </c>
    </row>
    <row r="197" customFormat="false" ht="15" hidden="false" customHeight="false" outlineLevel="0" collapsed="false">
      <c r="A197" s="14" t="n">
        <v>196</v>
      </c>
      <c r="B197" s="15" t="s">
        <v>520</v>
      </c>
      <c r="C197" s="15" t="s">
        <v>42</v>
      </c>
      <c r="D197" s="15" t="s">
        <v>521</v>
      </c>
      <c r="E197" s="15" t="s">
        <v>11</v>
      </c>
      <c r="F197" s="15" t="s">
        <v>522</v>
      </c>
      <c r="G197" s="16" t="n">
        <v>4.6</v>
      </c>
      <c r="H197" s="17" t="n">
        <v>661</v>
      </c>
      <c r="I197" s="14" t="s">
        <v>61</v>
      </c>
      <c r="J197" s="14" t="s">
        <v>46</v>
      </c>
    </row>
    <row r="198" customFormat="false" ht="15" hidden="false" customHeight="false" outlineLevel="0" collapsed="false">
      <c r="A198" s="14" t="n">
        <v>197</v>
      </c>
      <c r="B198" s="15" t="s">
        <v>523</v>
      </c>
      <c r="C198" s="15" t="s">
        <v>58</v>
      </c>
      <c r="D198" s="15" t="s">
        <v>524</v>
      </c>
      <c r="E198" s="15" t="s">
        <v>11</v>
      </c>
      <c r="F198" s="15" t="s">
        <v>525</v>
      </c>
      <c r="G198" s="16" t="n">
        <v>4.7</v>
      </c>
      <c r="H198" s="17" t="n">
        <v>1518</v>
      </c>
      <c r="I198" s="14" t="s">
        <v>61</v>
      </c>
      <c r="J198" s="14" t="s">
        <v>46</v>
      </c>
    </row>
    <row r="199" customFormat="false" ht="15" hidden="false" customHeight="false" outlineLevel="0" collapsed="false">
      <c r="A199" s="14" t="n">
        <v>198</v>
      </c>
      <c r="B199" s="15" t="s">
        <v>526</v>
      </c>
      <c r="C199" s="15" t="s">
        <v>58</v>
      </c>
      <c r="D199" s="15" t="s">
        <v>527</v>
      </c>
      <c r="E199" s="15" t="s">
        <v>11</v>
      </c>
      <c r="F199" s="15" t="s">
        <v>528</v>
      </c>
      <c r="G199" s="16" t="n">
        <v>4.7</v>
      </c>
      <c r="H199" s="17" t="n">
        <v>1980</v>
      </c>
      <c r="I199" s="14" t="s">
        <v>61</v>
      </c>
      <c r="J199" s="14" t="s">
        <v>46</v>
      </c>
    </row>
    <row r="200" customFormat="false" ht="15" hidden="false" customHeight="false" outlineLevel="0" collapsed="false">
      <c r="A200" s="14" t="n">
        <v>199</v>
      </c>
      <c r="B200" s="15" t="s">
        <v>529</v>
      </c>
      <c r="C200" s="15" t="s">
        <v>42</v>
      </c>
      <c r="D200" s="15" t="s">
        <v>527</v>
      </c>
      <c r="E200" s="15" t="s">
        <v>11</v>
      </c>
      <c r="F200" s="15" t="s">
        <v>530</v>
      </c>
      <c r="G200" s="16" t="n">
        <v>4.5</v>
      </c>
      <c r="H200" s="17" t="n">
        <v>193</v>
      </c>
      <c r="I200" s="14" t="s">
        <v>127</v>
      </c>
      <c r="J200" s="14" t="s">
        <v>46</v>
      </c>
    </row>
    <row r="201" customFormat="false" ht="15" hidden="false" customHeight="false" outlineLevel="0" collapsed="false">
      <c r="A201" s="14" t="n">
        <v>200</v>
      </c>
      <c r="B201" s="15" t="s">
        <v>531</v>
      </c>
      <c r="C201" s="15" t="s">
        <v>42</v>
      </c>
      <c r="D201" s="15" t="s">
        <v>532</v>
      </c>
      <c r="E201" s="15" t="s">
        <v>11</v>
      </c>
      <c r="F201" s="15" t="s">
        <v>533</v>
      </c>
      <c r="G201" s="16" t="n">
        <v>4</v>
      </c>
      <c r="H201" s="17" t="n">
        <v>100</v>
      </c>
      <c r="I201" s="14" t="s">
        <v>55</v>
      </c>
      <c r="J201" s="14" t="s">
        <v>46</v>
      </c>
    </row>
    <row r="202" customFormat="false" ht="15" hidden="false" customHeight="false" outlineLevel="0" collapsed="false">
      <c r="A202" s="14" t="n">
        <v>201</v>
      </c>
      <c r="B202" s="15" t="s">
        <v>534</v>
      </c>
      <c r="C202" s="15" t="s">
        <v>42</v>
      </c>
      <c r="D202" s="15" t="s">
        <v>532</v>
      </c>
      <c r="E202" s="15" t="s">
        <v>11</v>
      </c>
      <c r="F202" s="15" t="s">
        <v>535</v>
      </c>
      <c r="G202" s="16" t="n">
        <v>3.9</v>
      </c>
      <c r="H202" s="17" t="n">
        <v>193</v>
      </c>
      <c r="I202" s="14" t="s">
        <v>55</v>
      </c>
      <c r="J202" s="14" t="s">
        <v>46</v>
      </c>
    </row>
    <row r="203" customFormat="false" ht="15" hidden="false" customHeight="false" outlineLevel="0" collapsed="false">
      <c r="A203" s="14" t="n">
        <v>202</v>
      </c>
      <c r="B203" s="15" t="s">
        <v>536</v>
      </c>
      <c r="C203" s="15" t="s">
        <v>42</v>
      </c>
      <c r="D203" s="15" t="s">
        <v>532</v>
      </c>
      <c r="E203" s="15" t="s">
        <v>11</v>
      </c>
      <c r="F203" s="15" t="s">
        <v>537</v>
      </c>
      <c r="G203" s="16" t="n">
        <v>5</v>
      </c>
      <c r="H203" s="17" t="n">
        <v>37</v>
      </c>
      <c r="I203" s="14" t="s">
        <v>127</v>
      </c>
      <c r="J203" s="14" t="s">
        <v>46</v>
      </c>
    </row>
    <row r="204" customFormat="false" ht="15" hidden="false" customHeight="false" outlineLevel="0" collapsed="false">
      <c r="A204" s="14" t="n">
        <v>203</v>
      </c>
      <c r="B204" s="15" t="s">
        <v>538</v>
      </c>
      <c r="C204" s="15" t="s">
        <v>52</v>
      </c>
      <c r="D204" s="15" t="s">
        <v>532</v>
      </c>
      <c r="E204" s="15" t="s">
        <v>11</v>
      </c>
      <c r="F204" s="15" t="s">
        <v>539</v>
      </c>
      <c r="G204" s="16" t="n">
        <v>3.7</v>
      </c>
      <c r="H204" s="17" t="n">
        <v>141</v>
      </c>
      <c r="I204" s="14" t="s">
        <v>55</v>
      </c>
      <c r="J204" s="14" t="s">
        <v>46</v>
      </c>
    </row>
    <row r="205" customFormat="false" ht="15" hidden="false" customHeight="false" outlineLevel="0" collapsed="false">
      <c r="A205" s="14" t="n">
        <v>204</v>
      </c>
      <c r="B205" s="15" t="s">
        <v>540</v>
      </c>
      <c r="C205" s="15" t="s">
        <v>42</v>
      </c>
      <c r="D205" s="15" t="s">
        <v>541</v>
      </c>
      <c r="E205" s="15" t="s">
        <v>11</v>
      </c>
      <c r="F205" s="15" t="s">
        <v>542</v>
      </c>
      <c r="G205" s="16" t="n">
        <v>4.2</v>
      </c>
      <c r="H205" s="17" t="n">
        <v>100</v>
      </c>
      <c r="I205" s="14" t="s">
        <v>55</v>
      </c>
      <c r="J205" s="14" t="s">
        <v>46</v>
      </c>
    </row>
    <row r="206" customFormat="false" ht="15" hidden="false" customHeight="false" outlineLevel="0" collapsed="false">
      <c r="A206" s="14" t="n">
        <v>205</v>
      </c>
      <c r="B206" s="15" t="s">
        <v>543</v>
      </c>
      <c r="C206" s="15" t="s">
        <v>58</v>
      </c>
      <c r="D206" s="15" t="s">
        <v>544</v>
      </c>
      <c r="E206" s="15" t="s">
        <v>11</v>
      </c>
      <c r="F206" s="15" t="s">
        <v>545</v>
      </c>
      <c r="G206" s="16" t="n">
        <v>4.1</v>
      </c>
      <c r="H206" s="17" t="n">
        <v>75</v>
      </c>
      <c r="I206" s="14" t="s">
        <v>55</v>
      </c>
      <c r="J206" s="14" t="s">
        <v>56</v>
      </c>
    </row>
    <row r="207" customFormat="false" ht="15" hidden="false" customHeight="false" outlineLevel="0" collapsed="false">
      <c r="A207" s="14" t="n">
        <v>206</v>
      </c>
      <c r="B207" s="15" t="s">
        <v>546</v>
      </c>
      <c r="C207" s="15" t="s">
        <v>52</v>
      </c>
      <c r="D207" s="15" t="s">
        <v>544</v>
      </c>
      <c r="E207" s="15" t="s">
        <v>11</v>
      </c>
      <c r="F207" s="15" t="s">
        <v>547</v>
      </c>
      <c r="G207" s="16" t="n">
        <v>4.9</v>
      </c>
      <c r="H207" s="17" t="n">
        <v>187</v>
      </c>
      <c r="I207" s="14" t="s">
        <v>55</v>
      </c>
      <c r="J207" s="14" t="s">
        <v>46</v>
      </c>
    </row>
    <row r="208" customFormat="false" ht="15" hidden="false" customHeight="false" outlineLevel="0" collapsed="false">
      <c r="A208" s="14" t="n">
        <v>207</v>
      </c>
      <c r="B208" s="15" t="s">
        <v>548</v>
      </c>
      <c r="C208" s="15" t="s">
        <v>58</v>
      </c>
      <c r="D208" s="15" t="s">
        <v>549</v>
      </c>
      <c r="E208" s="15" t="s">
        <v>11</v>
      </c>
      <c r="F208" s="15" t="s">
        <v>550</v>
      </c>
      <c r="G208" s="16" t="n">
        <v>4.7</v>
      </c>
      <c r="H208" s="17" t="n">
        <v>1136</v>
      </c>
      <c r="I208" s="14" t="s">
        <v>55</v>
      </c>
      <c r="J208" s="14" t="s">
        <v>46</v>
      </c>
    </row>
    <row r="209" customFormat="false" ht="15" hidden="false" customHeight="false" outlineLevel="0" collapsed="false">
      <c r="A209" s="14" t="n">
        <v>208</v>
      </c>
      <c r="B209" s="15" t="s">
        <v>551</v>
      </c>
      <c r="C209" s="15" t="s">
        <v>42</v>
      </c>
      <c r="D209" s="15" t="s">
        <v>552</v>
      </c>
      <c r="E209" s="15" t="s">
        <v>11</v>
      </c>
      <c r="F209" s="15" t="s">
        <v>553</v>
      </c>
      <c r="G209" s="16" t="n">
        <v>4.9</v>
      </c>
      <c r="H209" s="17" t="n">
        <v>425</v>
      </c>
      <c r="I209" s="14" t="s">
        <v>55</v>
      </c>
      <c r="J209" s="14" t="s">
        <v>46</v>
      </c>
    </row>
    <row r="210" customFormat="false" ht="15" hidden="false" customHeight="false" outlineLevel="0" collapsed="false">
      <c r="A210" s="14" t="n">
        <v>209</v>
      </c>
      <c r="B210" s="15" t="s">
        <v>554</v>
      </c>
      <c r="C210" s="15" t="s">
        <v>58</v>
      </c>
      <c r="D210" s="15" t="s">
        <v>555</v>
      </c>
      <c r="E210" s="15" t="s">
        <v>11</v>
      </c>
      <c r="F210" s="15" t="s">
        <v>556</v>
      </c>
      <c r="G210" s="16" t="n">
        <v>4.8</v>
      </c>
      <c r="H210" s="17" t="n">
        <v>2071</v>
      </c>
      <c r="I210" s="14" t="s">
        <v>127</v>
      </c>
      <c r="J210" s="14" t="s">
        <v>46</v>
      </c>
    </row>
    <row r="211" customFormat="false" ht="15" hidden="false" customHeight="false" outlineLevel="0" collapsed="false">
      <c r="A211" s="14" t="n">
        <v>210</v>
      </c>
      <c r="B211" s="15" t="s">
        <v>557</v>
      </c>
      <c r="C211" s="15" t="s">
        <v>58</v>
      </c>
      <c r="D211" s="15" t="s">
        <v>558</v>
      </c>
      <c r="E211" s="15" t="s">
        <v>11</v>
      </c>
      <c r="F211" s="15" t="s">
        <v>559</v>
      </c>
      <c r="G211" s="16" t="n">
        <v>4.8</v>
      </c>
      <c r="H211" s="17" t="n">
        <v>993</v>
      </c>
      <c r="I211" s="14" t="s">
        <v>45</v>
      </c>
      <c r="J211" s="14" t="s">
        <v>46</v>
      </c>
    </row>
    <row r="212" customFormat="false" ht="15" hidden="false" customHeight="false" outlineLevel="0" collapsed="false">
      <c r="A212" s="14" t="n">
        <v>211</v>
      </c>
      <c r="B212" s="15" t="s">
        <v>560</v>
      </c>
      <c r="C212" s="15" t="s">
        <v>58</v>
      </c>
      <c r="D212" s="15" t="s">
        <v>558</v>
      </c>
      <c r="E212" s="15" t="s">
        <v>11</v>
      </c>
      <c r="F212" s="15" t="s">
        <v>561</v>
      </c>
      <c r="G212" s="16" t="n">
        <v>4.7</v>
      </c>
      <c r="H212" s="17" t="n">
        <v>618</v>
      </c>
      <c r="I212" s="14" t="s">
        <v>228</v>
      </c>
      <c r="J212" s="14" t="s">
        <v>46</v>
      </c>
    </row>
    <row r="213" customFormat="false" ht="15" hidden="false" customHeight="false" outlineLevel="0" collapsed="false">
      <c r="A213" s="14" t="n">
        <v>212</v>
      </c>
      <c r="B213" s="15" t="s">
        <v>562</v>
      </c>
      <c r="C213" s="15" t="s">
        <v>58</v>
      </c>
      <c r="D213" s="15" t="s">
        <v>563</v>
      </c>
      <c r="E213" s="15" t="s">
        <v>11</v>
      </c>
      <c r="F213" s="15" t="s">
        <v>564</v>
      </c>
      <c r="G213" s="16" t="n">
        <v>4.7</v>
      </c>
      <c r="H213" s="17" t="n">
        <v>3665</v>
      </c>
      <c r="I213" s="14" t="s">
        <v>228</v>
      </c>
      <c r="J213" s="14" t="s">
        <v>46</v>
      </c>
    </row>
    <row r="214" customFormat="false" ht="15" hidden="false" customHeight="false" outlineLevel="0" collapsed="false">
      <c r="A214" s="14" t="n">
        <v>213</v>
      </c>
      <c r="B214" s="15" t="s">
        <v>565</v>
      </c>
      <c r="C214" s="15" t="s">
        <v>52</v>
      </c>
      <c r="D214" s="15" t="s">
        <v>566</v>
      </c>
      <c r="E214" s="15" t="s">
        <v>11</v>
      </c>
      <c r="F214" s="15" t="s">
        <v>567</v>
      </c>
      <c r="G214" s="16" t="n">
        <v>4.3</v>
      </c>
      <c r="H214" s="17" t="n">
        <v>202</v>
      </c>
      <c r="I214" s="14" t="s">
        <v>55</v>
      </c>
      <c r="J214" s="14" t="s">
        <v>46</v>
      </c>
    </row>
    <row r="215" customFormat="false" ht="15" hidden="false" customHeight="false" outlineLevel="0" collapsed="false">
      <c r="A215" s="14" t="n">
        <v>214</v>
      </c>
      <c r="B215" s="15" t="s">
        <v>568</v>
      </c>
      <c r="C215" s="15" t="s">
        <v>58</v>
      </c>
      <c r="D215" s="15" t="s">
        <v>569</v>
      </c>
      <c r="E215" s="15" t="s">
        <v>11</v>
      </c>
      <c r="F215" s="15" t="s">
        <v>570</v>
      </c>
      <c r="G215" s="16" t="n">
        <v>4.8</v>
      </c>
      <c r="H215" s="17" t="n">
        <v>3919</v>
      </c>
      <c r="I215" s="14" t="s">
        <v>61</v>
      </c>
      <c r="J215" s="14" t="s">
        <v>46</v>
      </c>
    </row>
    <row r="216" customFormat="false" ht="15" hidden="false" customHeight="false" outlineLevel="0" collapsed="false">
      <c r="A216" s="14" t="n">
        <v>215</v>
      </c>
      <c r="B216" s="15" t="s">
        <v>571</v>
      </c>
      <c r="C216" s="15" t="s">
        <v>42</v>
      </c>
      <c r="D216" s="15" t="s">
        <v>572</v>
      </c>
      <c r="E216" s="15" t="s">
        <v>11</v>
      </c>
      <c r="F216" s="15" t="s">
        <v>573</v>
      </c>
      <c r="G216" s="16" t="n">
        <v>4.3</v>
      </c>
      <c r="H216" s="17" t="n">
        <v>207</v>
      </c>
      <c r="I216" s="14" t="s">
        <v>61</v>
      </c>
      <c r="J216" s="14" t="s">
        <v>46</v>
      </c>
    </row>
    <row r="217" customFormat="false" ht="15" hidden="false" customHeight="false" outlineLevel="0" collapsed="false">
      <c r="A217" s="14" t="n">
        <v>216</v>
      </c>
      <c r="B217" s="15" t="s">
        <v>574</v>
      </c>
      <c r="C217" s="15" t="s">
        <v>42</v>
      </c>
      <c r="D217" s="15" t="s">
        <v>575</v>
      </c>
      <c r="E217" s="15" t="s">
        <v>11</v>
      </c>
      <c r="F217" s="15" t="s">
        <v>576</v>
      </c>
      <c r="G217" s="16" t="n">
        <v>4.7</v>
      </c>
      <c r="H217" s="17" t="n">
        <v>726</v>
      </c>
      <c r="I217" s="14" t="s">
        <v>55</v>
      </c>
      <c r="J217" s="14" t="s">
        <v>56</v>
      </c>
    </row>
    <row r="218" customFormat="false" ht="15" hidden="false" customHeight="false" outlineLevel="0" collapsed="false">
      <c r="A218" s="14" t="n">
        <v>217</v>
      </c>
      <c r="B218" s="15" t="s">
        <v>577</v>
      </c>
      <c r="C218" s="15" t="s">
        <v>42</v>
      </c>
      <c r="D218" s="15" t="s">
        <v>578</v>
      </c>
      <c r="E218" s="15" t="s">
        <v>11</v>
      </c>
      <c r="F218" s="15" t="s">
        <v>579</v>
      </c>
      <c r="G218" s="16" t="n">
        <v>4.9</v>
      </c>
      <c r="H218" s="17" t="n">
        <v>1502</v>
      </c>
      <c r="I218" s="14" t="s">
        <v>61</v>
      </c>
      <c r="J218" s="14" t="s">
        <v>46</v>
      </c>
    </row>
    <row r="219" customFormat="false" ht="15" hidden="false" customHeight="false" outlineLevel="0" collapsed="false">
      <c r="A219" s="14" t="n">
        <v>218</v>
      </c>
      <c r="B219" s="15" t="s">
        <v>580</v>
      </c>
      <c r="C219" s="15" t="s">
        <v>58</v>
      </c>
      <c r="D219" s="15" t="s">
        <v>581</v>
      </c>
      <c r="E219" s="15" t="s">
        <v>11</v>
      </c>
      <c r="F219" s="15" t="s">
        <v>582</v>
      </c>
      <c r="G219" s="16" t="n">
        <v>4.6</v>
      </c>
      <c r="H219" s="17" t="n">
        <v>1634</v>
      </c>
      <c r="I219" s="14" t="s">
        <v>61</v>
      </c>
      <c r="J219" s="14" t="s">
        <v>56</v>
      </c>
    </row>
    <row r="220" customFormat="false" ht="15" hidden="false" customHeight="false" outlineLevel="0" collapsed="false">
      <c r="A220" s="14" t="n">
        <v>219</v>
      </c>
      <c r="B220" s="15" t="s">
        <v>583</v>
      </c>
      <c r="C220" s="15" t="s">
        <v>42</v>
      </c>
      <c r="D220" s="15" t="s">
        <v>584</v>
      </c>
      <c r="E220" s="15" t="s">
        <v>11</v>
      </c>
      <c r="F220" s="15" t="s">
        <v>585</v>
      </c>
      <c r="G220" s="16" t="n">
        <v>4.4</v>
      </c>
      <c r="H220" s="17" t="n">
        <v>1418</v>
      </c>
      <c r="I220" s="14" t="s">
        <v>61</v>
      </c>
      <c r="J220" s="14" t="s">
        <v>46</v>
      </c>
    </row>
    <row r="221" customFormat="false" ht="15" hidden="false" customHeight="false" outlineLevel="0" collapsed="false">
      <c r="A221" s="14" t="n">
        <v>220</v>
      </c>
      <c r="B221" s="15" t="s">
        <v>586</v>
      </c>
      <c r="C221" s="15" t="s">
        <v>58</v>
      </c>
      <c r="D221" s="15" t="s">
        <v>587</v>
      </c>
      <c r="E221" s="15" t="s">
        <v>11</v>
      </c>
      <c r="F221" s="15" t="s">
        <v>588</v>
      </c>
      <c r="G221" s="16" t="n">
        <v>4.7</v>
      </c>
      <c r="H221" s="17" t="n">
        <v>1001</v>
      </c>
      <c r="I221" s="14" t="s">
        <v>61</v>
      </c>
      <c r="J221" s="14" t="s">
        <v>46</v>
      </c>
    </row>
    <row r="222" customFormat="false" ht="15" hidden="false" customHeight="false" outlineLevel="0" collapsed="false">
      <c r="A222" s="14" t="n">
        <v>221</v>
      </c>
      <c r="B222" s="15" t="s">
        <v>589</v>
      </c>
      <c r="C222" s="15" t="s">
        <v>42</v>
      </c>
      <c r="D222" s="15" t="s">
        <v>587</v>
      </c>
      <c r="E222" s="15" t="s">
        <v>11</v>
      </c>
      <c r="F222" s="15" t="s">
        <v>127</v>
      </c>
      <c r="G222" s="16" t="n">
        <v>4.4</v>
      </c>
      <c r="H222" s="17" t="n">
        <v>87</v>
      </c>
      <c r="I222" s="14" t="s">
        <v>55</v>
      </c>
      <c r="J222" s="14" t="s">
        <v>46</v>
      </c>
    </row>
    <row r="223" customFormat="false" ht="15" hidden="false" customHeight="false" outlineLevel="0" collapsed="false">
      <c r="A223" s="14" t="n">
        <v>222</v>
      </c>
      <c r="B223" s="15" t="s">
        <v>590</v>
      </c>
      <c r="C223" s="15" t="s">
        <v>52</v>
      </c>
      <c r="D223" s="15" t="s">
        <v>591</v>
      </c>
      <c r="E223" s="15" t="s">
        <v>11</v>
      </c>
      <c r="F223" s="15" t="s">
        <v>127</v>
      </c>
      <c r="G223" s="16" t="n">
        <v>5</v>
      </c>
      <c r="H223" s="17" t="n">
        <v>11</v>
      </c>
      <c r="I223" s="14" t="s">
        <v>55</v>
      </c>
      <c r="J223" s="14" t="s">
        <v>46</v>
      </c>
    </row>
    <row r="224" customFormat="false" ht="15" hidden="false" customHeight="false" outlineLevel="0" collapsed="false">
      <c r="A224" s="14" t="n">
        <v>223</v>
      </c>
      <c r="B224" s="15" t="s">
        <v>592</v>
      </c>
      <c r="C224" s="15" t="s">
        <v>58</v>
      </c>
      <c r="D224" s="15" t="s">
        <v>593</v>
      </c>
      <c r="E224" s="15" t="s">
        <v>11</v>
      </c>
      <c r="F224" s="15" t="s">
        <v>594</v>
      </c>
      <c r="G224" s="16" t="n">
        <v>4.8</v>
      </c>
      <c r="H224" s="17" t="n">
        <v>2894</v>
      </c>
      <c r="I224" s="14" t="s">
        <v>127</v>
      </c>
      <c r="J224" s="14" t="s">
        <v>46</v>
      </c>
    </row>
    <row r="225" customFormat="false" ht="15" hidden="false" customHeight="false" outlineLevel="0" collapsed="false">
      <c r="A225" s="14" t="n">
        <v>224</v>
      </c>
      <c r="B225" s="15" t="s">
        <v>595</v>
      </c>
      <c r="C225" s="15" t="s">
        <v>58</v>
      </c>
      <c r="D225" s="15" t="s">
        <v>596</v>
      </c>
      <c r="E225" s="15" t="s">
        <v>11</v>
      </c>
      <c r="F225" s="15" t="s">
        <v>597</v>
      </c>
      <c r="G225" s="16" t="n">
        <v>4.8</v>
      </c>
      <c r="H225" s="17" t="n">
        <v>899</v>
      </c>
      <c r="I225" s="14" t="s">
        <v>61</v>
      </c>
      <c r="J225" s="14" t="s">
        <v>46</v>
      </c>
    </row>
    <row r="226" customFormat="false" ht="15" hidden="false" customHeight="false" outlineLevel="0" collapsed="false">
      <c r="A226" s="14" t="n">
        <v>225</v>
      </c>
      <c r="B226" s="15" t="s">
        <v>598</v>
      </c>
      <c r="C226" s="15" t="s">
        <v>42</v>
      </c>
      <c r="D226" s="15" t="s">
        <v>599</v>
      </c>
      <c r="E226" s="15" t="s">
        <v>11</v>
      </c>
      <c r="F226" s="15" t="s">
        <v>600</v>
      </c>
      <c r="G226" s="16" t="n">
        <v>4.6</v>
      </c>
      <c r="H226" s="17" t="n">
        <v>999</v>
      </c>
      <c r="I226" s="14" t="s">
        <v>127</v>
      </c>
      <c r="J226" s="14" t="s">
        <v>46</v>
      </c>
    </row>
    <row r="227" customFormat="false" ht="15" hidden="false" customHeight="false" outlineLevel="0" collapsed="false">
      <c r="A227" s="14" t="n">
        <v>226</v>
      </c>
      <c r="B227" s="15" t="s">
        <v>601</v>
      </c>
      <c r="C227" s="15" t="s">
        <v>58</v>
      </c>
      <c r="D227" s="15" t="s">
        <v>602</v>
      </c>
      <c r="E227" s="15" t="s">
        <v>11</v>
      </c>
      <c r="F227" s="15" t="s">
        <v>603</v>
      </c>
      <c r="G227" s="16" t="n">
        <v>4.1</v>
      </c>
      <c r="H227" s="17" t="n">
        <v>1020</v>
      </c>
      <c r="I227" s="14" t="s">
        <v>61</v>
      </c>
      <c r="J227" s="14" t="s">
        <v>46</v>
      </c>
    </row>
    <row r="228" customFormat="false" ht="15" hidden="false" customHeight="false" outlineLevel="0" collapsed="false">
      <c r="A228" s="14" t="n">
        <v>227</v>
      </c>
      <c r="B228" s="15" t="s">
        <v>604</v>
      </c>
      <c r="C228" s="15" t="s">
        <v>58</v>
      </c>
      <c r="D228" s="15" t="s">
        <v>602</v>
      </c>
      <c r="E228" s="15" t="s">
        <v>11</v>
      </c>
      <c r="F228" s="15" t="s">
        <v>605</v>
      </c>
      <c r="G228" s="16" t="n">
        <v>4.5</v>
      </c>
      <c r="H228" s="17" t="n">
        <v>2525</v>
      </c>
      <c r="I228" s="14" t="s">
        <v>61</v>
      </c>
      <c r="J228" s="14" t="s">
        <v>46</v>
      </c>
    </row>
    <row r="229" customFormat="false" ht="15" hidden="false" customHeight="false" outlineLevel="0" collapsed="false">
      <c r="A229" s="14" t="n">
        <v>228</v>
      </c>
      <c r="B229" s="15" t="s">
        <v>606</v>
      </c>
      <c r="C229" s="15" t="s">
        <v>58</v>
      </c>
      <c r="D229" s="15" t="s">
        <v>607</v>
      </c>
      <c r="E229" s="15" t="s">
        <v>11</v>
      </c>
      <c r="F229" s="15" t="s">
        <v>608</v>
      </c>
      <c r="G229" s="16" t="n">
        <v>4.8</v>
      </c>
      <c r="H229" s="17" t="n">
        <v>12334</v>
      </c>
      <c r="I229" s="14" t="s">
        <v>61</v>
      </c>
      <c r="J229" s="14" t="s">
        <v>46</v>
      </c>
    </row>
    <row r="230" customFormat="false" ht="15" hidden="false" customHeight="false" outlineLevel="0" collapsed="false">
      <c r="A230" s="14" t="n">
        <v>229</v>
      </c>
      <c r="B230" s="15" t="s">
        <v>609</v>
      </c>
      <c r="C230" s="15" t="s">
        <v>58</v>
      </c>
      <c r="D230" s="15" t="s">
        <v>607</v>
      </c>
      <c r="E230" s="15" t="s">
        <v>11</v>
      </c>
      <c r="F230" s="15" t="s">
        <v>610</v>
      </c>
      <c r="G230" s="16" t="n">
        <v>4.9</v>
      </c>
      <c r="H230" s="17" t="n">
        <v>17304</v>
      </c>
      <c r="I230" s="14" t="s">
        <v>61</v>
      </c>
      <c r="J230" s="14" t="s">
        <v>46</v>
      </c>
    </row>
    <row r="231" customFormat="false" ht="15" hidden="false" customHeight="false" outlineLevel="0" collapsed="false">
      <c r="A231" s="14" t="n">
        <v>230</v>
      </c>
      <c r="B231" s="15" t="s">
        <v>611</v>
      </c>
      <c r="C231" s="15" t="s">
        <v>58</v>
      </c>
      <c r="D231" s="15" t="s">
        <v>612</v>
      </c>
      <c r="E231" s="15" t="s">
        <v>11</v>
      </c>
      <c r="F231" s="15" t="s">
        <v>613</v>
      </c>
      <c r="G231" s="16" t="n">
        <v>4.8</v>
      </c>
      <c r="H231" s="17" t="n">
        <v>2132</v>
      </c>
      <c r="I231" s="14" t="s">
        <v>61</v>
      </c>
      <c r="J231" s="14" t="s">
        <v>46</v>
      </c>
    </row>
    <row r="232" customFormat="false" ht="15" hidden="false" customHeight="false" outlineLevel="0" collapsed="false">
      <c r="A232" s="14" t="n">
        <v>231</v>
      </c>
      <c r="B232" s="15" t="s">
        <v>614</v>
      </c>
      <c r="C232" s="15" t="s">
        <v>42</v>
      </c>
      <c r="D232" s="15" t="s">
        <v>615</v>
      </c>
      <c r="E232" s="15" t="s">
        <v>11</v>
      </c>
      <c r="F232" s="15" t="s">
        <v>616</v>
      </c>
      <c r="G232" s="16" t="n">
        <v>4.8</v>
      </c>
      <c r="H232" s="17" t="n">
        <v>1694</v>
      </c>
      <c r="I232" s="14" t="s">
        <v>61</v>
      </c>
      <c r="J232" s="14" t="s">
        <v>46</v>
      </c>
    </row>
    <row r="233" customFormat="false" ht="15" hidden="false" customHeight="false" outlineLevel="0" collapsed="false">
      <c r="A233" s="14" t="n">
        <v>232</v>
      </c>
      <c r="B233" s="15" t="s">
        <v>617</v>
      </c>
      <c r="C233" s="15" t="s">
        <v>42</v>
      </c>
      <c r="D233" s="15" t="s">
        <v>615</v>
      </c>
      <c r="E233" s="15" t="s">
        <v>11</v>
      </c>
      <c r="F233" s="15" t="s">
        <v>618</v>
      </c>
      <c r="G233" s="16" t="n">
        <v>4.8</v>
      </c>
      <c r="H233" s="17" t="n">
        <v>1060</v>
      </c>
      <c r="I233" s="14" t="s">
        <v>61</v>
      </c>
      <c r="J233" s="14" t="s">
        <v>46</v>
      </c>
    </row>
    <row r="234" customFormat="false" ht="15" hidden="false" customHeight="false" outlineLevel="0" collapsed="false">
      <c r="A234" s="14" t="n">
        <v>233</v>
      </c>
      <c r="B234" s="15" t="s">
        <v>619</v>
      </c>
      <c r="C234" s="15" t="s">
        <v>42</v>
      </c>
      <c r="D234" s="15" t="s">
        <v>620</v>
      </c>
      <c r="E234" s="15" t="s">
        <v>11</v>
      </c>
      <c r="F234" s="15" t="s">
        <v>621</v>
      </c>
      <c r="G234" s="16" t="n">
        <v>4.2</v>
      </c>
      <c r="H234" s="17" t="n">
        <v>3697</v>
      </c>
      <c r="I234" s="14" t="s">
        <v>55</v>
      </c>
      <c r="J234" s="14" t="s">
        <v>46</v>
      </c>
    </row>
    <row r="235" customFormat="false" ht="15" hidden="false" customHeight="false" outlineLevel="0" collapsed="false">
      <c r="A235" s="14" t="n">
        <v>234</v>
      </c>
      <c r="B235" s="15" t="s">
        <v>622</v>
      </c>
      <c r="C235" s="15" t="s">
        <v>58</v>
      </c>
      <c r="D235" s="15" t="s">
        <v>623</v>
      </c>
      <c r="E235" s="15" t="s">
        <v>11</v>
      </c>
      <c r="F235" s="15" t="s">
        <v>624</v>
      </c>
      <c r="G235" s="16" t="n">
        <v>4.5</v>
      </c>
      <c r="H235" s="17" t="n">
        <v>473</v>
      </c>
      <c r="I235" s="14" t="s">
        <v>61</v>
      </c>
      <c r="J235" s="14" t="s">
        <v>46</v>
      </c>
    </row>
    <row r="236" customFormat="false" ht="15" hidden="false" customHeight="false" outlineLevel="0" collapsed="false">
      <c r="A236" s="14" t="n">
        <v>235</v>
      </c>
      <c r="B236" s="15" t="s">
        <v>625</v>
      </c>
      <c r="C236" s="15" t="s">
        <v>58</v>
      </c>
      <c r="D236" s="15" t="s">
        <v>626</v>
      </c>
      <c r="E236" s="15" t="s">
        <v>11</v>
      </c>
      <c r="F236" s="15" t="s">
        <v>627</v>
      </c>
      <c r="G236" s="16" t="n">
        <v>4.7</v>
      </c>
      <c r="H236" s="17" t="n">
        <v>2203</v>
      </c>
      <c r="I236" s="14" t="s">
        <v>61</v>
      </c>
      <c r="J236" s="14" t="s">
        <v>46</v>
      </c>
    </row>
    <row r="237" customFormat="false" ht="15" hidden="false" customHeight="false" outlineLevel="0" collapsed="false">
      <c r="A237" s="14" t="n">
        <v>236</v>
      </c>
      <c r="B237" s="15" t="s">
        <v>628</v>
      </c>
      <c r="C237" s="15" t="s">
        <v>42</v>
      </c>
      <c r="D237" s="15" t="s">
        <v>629</v>
      </c>
      <c r="E237" s="15" t="s">
        <v>11</v>
      </c>
      <c r="F237" s="15" t="s">
        <v>630</v>
      </c>
      <c r="G237" s="16" t="n">
        <v>4.4</v>
      </c>
      <c r="H237" s="17" t="n">
        <v>409</v>
      </c>
      <c r="I237" s="14" t="s">
        <v>61</v>
      </c>
      <c r="J237" s="14" t="s">
        <v>46</v>
      </c>
    </row>
    <row r="238" customFormat="false" ht="15" hidden="false" customHeight="false" outlineLevel="0" collapsed="false">
      <c r="A238" s="14" t="n">
        <v>237</v>
      </c>
      <c r="B238" s="15" t="s">
        <v>631</v>
      </c>
      <c r="C238" s="15" t="s">
        <v>58</v>
      </c>
      <c r="D238" s="15" t="s">
        <v>629</v>
      </c>
      <c r="E238" s="15" t="s">
        <v>11</v>
      </c>
      <c r="F238" s="15" t="s">
        <v>632</v>
      </c>
      <c r="G238" s="16" t="n">
        <v>4.5</v>
      </c>
      <c r="H238" s="17" t="n">
        <v>86</v>
      </c>
      <c r="I238" s="14" t="s">
        <v>61</v>
      </c>
      <c r="J238" s="14" t="s">
        <v>46</v>
      </c>
    </row>
    <row r="239" customFormat="false" ht="15" hidden="false" customHeight="false" outlineLevel="0" collapsed="false">
      <c r="A239" s="14" t="n">
        <v>238</v>
      </c>
      <c r="B239" s="15" t="s">
        <v>633</v>
      </c>
      <c r="C239" s="15" t="s">
        <v>42</v>
      </c>
      <c r="D239" s="15" t="s">
        <v>629</v>
      </c>
      <c r="E239" s="15" t="s">
        <v>11</v>
      </c>
      <c r="F239" s="15" t="s">
        <v>634</v>
      </c>
      <c r="G239" s="16" t="n">
        <v>4.3</v>
      </c>
      <c r="H239" s="17" t="n">
        <v>212</v>
      </c>
      <c r="I239" s="14" t="s">
        <v>55</v>
      </c>
      <c r="J239" s="14" t="s">
        <v>46</v>
      </c>
    </row>
    <row r="240" customFormat="false" ht="15" hidden="false" customHeight="false" outlineLevel="0" collapsed="false">
      <c r="A240" s="14" t="n">
        <v>239</v>
      </c>
      <c r="B240" s="15" t="s">
        <v>635</v>
      </c>
      <c r="C240" s="15" t="s">
        <v>42</v>
      </c>
      <c r="D240" s="15" t="s">
        <v>629</v>
      </c>
      <c r="E240" s="15" t="s">
        <v>11</v>
      </c>
      <c r="F240" s="15" t="s">
        <v>636</v>
      </c>
      <c r="G240" s="16" t="n">
        <v>4.5</v>
      </c>
      <c r="H240" s="17" t="n">
        <v>89</v>
      </c>
      <c r="I240" s="14" t="s">
        <v>61</v>
      </c>
      <c r="J240" s="14" t="s">
        <v>46</v>
      </c>
    </row>
    <row r="241" customFormat="false" ht="15" hidden="false" customHeight="false" outlineLevel="0" collapsed="false">
      <c r="A241" s="14" t="n">
        <v>240</v>
      </c>
      <c r="B241" s="15" t="s">
        <v>637</v>
      </c>
      <c r="C241" s="15" t="s">
        <v>42</v>
      </c>
      <c r="D241" s="15" t="s">
        <v>629</v>
      </c>
      <c r="E241" s="15" t="s">
        <v>11</v>
      </c>
      <c r="F241" s="15" t="s">
        <v>638</v>
      </c>
      <c r="G241" s="16" t="n">
        <v>4.7</v>
      </c>
      <c r="H241" s="17" t="n">
        <v>1041</v>
      </c>
      <c r="I241" s="14" t="s">
        <v>55</v>
      </c>
      <c r="J241" s="14" t="s">
        <v>46</v>
      </c>
    </row>
    <row r="242" customFormat="false" ht="15" hidden="false" customHeight="false" outlineLevel="0" collapsed="false">
      <c r="A242" s="14" t="n">
        <v>241</v>
      </c>
      <c r="B242" s="15" t="s">
        <v>639</v>
      </c>
      <c r="C242" s="15" t="s">
        <v>42</v>
      </c>
      <c r="D242" s="15" t="s">
        <v>629</v>
      </c>
      <c r="E242" s="15" t="s">
        <v>11</v>
      </c>
      <c r="F242" s="15" t="s">
        <v>640</v>
      </c>
      <c r="G242" s="16" t="n">
        <v>4.8</v>
      </c>
      <c r="H242" s="17" t="n">
        <v>1791</v>
      </c>
      <c r="I242" s="14" t="s">
        <v>61</v>
      </c>
      <c r="J242" s="14" t="s">
        <v>46</v>
      </c>
    </row>
    <row r="243" customFormat="false" ht="15" hidden="false" customHeight="false" outlineLevel="0" collapsed="false">
      <c r="A243" s="14" t="n">
        <v>242</v>
      </c>
      <c r="B243" s="15" t="s">
        <v>641</v>
      </c>
      <c r="C243" s="15" t="s">
        <v>42</v>
      </c>
      <c r="D243" s="15" t="s">
        <v>642</v>
      </c>
      <c r="E243" s="15" t="s">
        <v>11</v>
      </c>
      <c r="F243" s="15" t="s">
        <v>643</v>
      </c>
      <c r="G243" s="16" t="n">
        <v>4.4</v>
      </c>
      <c r="H243" s="17" t="n">
        <v>83</v>
      </c>
      <c r="I243" s="14" t="s">
        <v>55</v>
      </c>
      <c r="J243" s="14" t="s">
        <v>46</v>
      </c>
    </row>
    <row r="244" customFormat="false" ht="15" hidden="false" customHeight="false" outlineLevel="0" collapsed="false">
      <c r="A244" s="14" t="n">
        <v>243</v>
      </c>
      <c r="B244" s="15" t="s">
        <v>644</v>
      </c>
      <c r="C244" s="15" t="s">
        <v>58</v>
      </c>
      <c r="D244" s="15" t="s">
        <v>645</v>
      </c>
      <c r="E244" s="15" t="s">
        <v>11</v>
      </c>
      <c r="F244" s="15" t="s">
        <v>646</v>
      </c>
      <c r="G244" s="16" t="n">
        <v>4.3</v>
      </c>
      <c r="H244" s="17" t="n">
        <v>1208</v>
      </c>
      <c r="I244" s="14" t="s">
        <v>61</v>
      </c>
      <c r="J244" s="14" t="s">
        <v>56</v>
      </c>
    </row>
    <row r="245" customFormat="false" ht="15" hidden="false" customHeight="false" outlineLevel="0" collapsed="false">
      <c r="A245" s="14" t="n">
        <v>244</v>
      </c>
      <c r="B245" s="15" t="s">
        <v>647</v>
      </c>
      <c r="C245" s="15" t="s">
        <v>42</v>
      </c>
      <c r="D245" s="15" t="s">
        <v>648</v>
      </c>
      <c r="E245" s="15" t="s">
        <v>11</v>
      </c>
      <c r="F245" s="15" t="s">
        <v>649</v>
      </c>
      <c r="G245" s="16" t="n">
        <v>4.3</v>
      </c>
      <c r="H245" s="17" t="n">
        <v>1358</v>
      </c>
      <c r="I245" s="14" t="s">
        <v>61</v>
      </c>
      <c r="J245" s="14" t="s">
        <v>46</v>
      </c>
    </row>
    <row r="246" customFormat="false" ht="15" hidden="false" customHeight="false" outlineLevel="0" collapsed="false">
      <c r="A246" s="14" t="n">
        <v>245</v>
      </c>
      <c r="B246" s="15" t="s">
        <v>650</v>
      </c>
      <c r="C246" s="15" t="s">
        <v>42</v>
      </c>
      <c r="D246" s="15" t="s">
        <v>651</v>
      </c>
      <c r="E246" s="15" t="s">
        <v>11</v>
      </c>
      <c r="F246" s="15" t="s">
        <v>652</v>
      </c>
      <c r="G246" s="16" t="n">
        <v>4.7</v>
      </c>
      <c r="H246" s="17" t="n">
        <v>1912</v>
      </c>
      <c r="I246" s="14" t="s">
        <v>61</v>
      </c>
      <c r="J246" s="14" t="s">
        <v>46</v>
      </c>
    </row>
    <row r="247" customFormat="false" ht="15" hidden="false" customHeight="false" outlineLevel="0" collapsed="false">
      <c r="A247" s="14" t="n">
        <v>246</v>
      </c>
      <c r="B247" s="15" t="s">
        <v>653</v>
      </c>
      <c r="C247" s="15" t="s">
        <v>42</v>
      </c>
      <c r="D247" s="15" t="s">
        <v>654</v>
      </c>
      <c r="E247" s="15" t="s">
        <v>11</v>
      </c>
      <c r="F247" s="15" t="s">
        <v>655</v>
      </c>
      <c r="G247" s="16" t="n">
        <v>4.8</v>
      </c>
      <c r="H247" s="17" t="n">
        <v>279</v>
      </c>
      <c r="I247" s="14" t="s">
        <v>61</v>
      </c>
      <c r="J247" s="14" t="s">
        <v>46</v>
      </c>
    </row>
    <row r="248" customFormat="false" ht="15" hidden="false" customHeight="false" outlineLevel="0" collapsed="false">
      <c r="A248" s="14" t="n">
        <v>247</v>
      </c>
      <c r="B248" s="15" t="s">
        <v>656</v>
      </c>
      <c r="C248" s="15" t="s">
        <v>42</v>
      </c>
      <c r="D248" s="15" t="s">
        <v>654</v>
      </c>
      <c r="E248" s="15" t="s">
        <v>11</v>
      </c>
      <c r="F248" s="15" t="s">
        <v>657</v>
      </c>
      <c r="G248" s="16" t="n">
        <v>4.9</v>
      </c>
      <c r="H248" s="17" t="n">
        <v>5727</v>
      </c>
      <c r="I248" s="14" t="s">
        <v>61</v>
      </c>
      <c r="J248" s="14" t="s">
        <v>46</v>
      </c>
    </row>
    <row r="249" customFormat="false" ht="15" hidden="false" customHeight="false" outlineLevel="0" collapsed="false">
      <c r="A249" s="14" t="n">
        <v>248</v>
      </c>
      <c r="B249" s="15" t="s">
        <v>658</v>
      </c>
      <c r="C249" s="15" t="s">
        <v>42</v>
      </c>
      <c r="D249" s="15" t="s">
        <v>659</v>
      </c>
      <c r="E249" s="15" t="s">
        <v>11</v>
      </c>
      <c r="F249" s="15" t="s">
        <v>660</v>
      </c>
      <c r="G249" s="16" t="n">
        <v>4.8</v>
      </c>
      <c r="H249" s="17" t="n">
        <v>1144</v>
      </c>
      <c r="I249" s="14" t="s">
        <v>127</v>
      </c>
      <c r="J249" s="14" t="s">
        <v>46</v>
      </c>
    </row>
    <row r="250" customFormat="false" ht="15" hidden="false" customHeight="false" outlineLevel="0" collapsed="false">
      <c r="A250" s="14" t="n">
        <v>249</v>
      </c>
      <c r="B250" s="15" t="s">
        <v>661</v>
      </c>
      <c r="C250" s="15" t="s">
        <v>52</v>
      </c>
      <c r="D250" s="15" t="s">
        <v>662</v>
      </c>
      <c r="E250" s="15" t="s">
        <v>11</v>
      </c>
      <c r="F250" s="15" t="s">
        <v>663</v>
      </c>
      <c r="G250" s="16" t="n">
        <v>4.4</v>
      </c>
      <c r="H250" s="17" t="n">
        <v>29</v>
      </c>
      <c r="I250" s="14" t="s">
        <v>55</v>
      </c>
      <c r="J250" s="14" t="s">
        <v>56</v>
      </c>
    </row>
    <row r="251" customFormat="false" ht="15" hidden="false" customHeight="false" outlineLevel="0" collapsed="false">
      <c r="A251" s="14" t="n">
        <v>250</v>
      </c>
      <c r="B251" s="15" t="s">
        <v>664</v>
      </c>
      <c r="C251" s="15" t="s">
        <v>58</v>
      </c>
      <c r="D251" s="15" t="s">
        <v>665</v>
      </c>
      <c r="E251" s="15" t="s">
        <v>12</v>
      </c>
      <c r="F251" s="15" t="s">
        <v>666</v>
      </c>
      <c r="G251" s="16" t="n">
        <v>4.8</v>
      </c>
      <c r="H251" s="17" t="n">
        <v>3864</v>
      </c>
      <c r="I251" s="14" t="s">
        <v>61</v>
      </c>
      <c r="J251" s="14" t="s">
        <v>46</v>
      </c>
    </row>
    <row r="252" customFormat="false" ht="15" hidden="false" customHeight="false" outlineLevel="0" collapsed="false">
      <c r="A252" s="14" t="n">
        <v>251</v>
      </c>
      <c r="B252" s="15" t="s">
        <v>667</v>
      </c>
      <c r="C252" s="15" t="s">
        <v>42</v>
      </c>
      <c r="D252" s="15" t="s">
        <v>668</v>
      </c>
      <c r="E252" s="15" t="s">
        <v>12</v>
      </c>
      <c r="F252" s="15" t="s">
        <v>669</v>
      </c>
      <c r="G252" s="16" t="n">
        <v>4.7</v>
      </c>
      <c r="H252" s="17" t="n">
        <v>116</v>
      </c>
      <c r="I252" s="14" t="s">
        <v>61</v>
      </c>
      <c r="J252" s="14" t="s">
        <v>46</v>
      </c>
    </row>
    <row r="253" customFormat="false" ht="15" hidden="false" customHeight="false" outlineLevel="0" collapsed="false">
      <c r="A253" s="14" t="n">
        <v>252</v>
      </c>
      <c r="B253" s="15" t="s">
        <v>670</v>
      </c>
      <c r="C253" s="15" t="s">
        <v>58</v>
      </c>
      <c r="D253" s="15" t="s">
        <v>671</v>
      </c>
      <c r="E253" s="15" t="s">
        <v>12</v>
      </c>
      <c r="F253" s="15" t="s">
        <v>672</v>
      </c>
      <c r="G253" s="16" t="n">
        <v>4.6</v>
      </c>
      <c r="H253" s="17" t="n">
        <v>583</v>
      </c>
      <c r="I253" s="14" t="s">
        <v>55</v>
      </c>
      <c r="J253" s="14" t="s">
        <v>46</v>
      </c>
    </row>
    <row r="254" customFormat="false" ht="15" hidden="false" customHeight="false" outlineLevel="0" collapsed="false">
      <c r="A254" s="14" t="n">
        <v>253</v>
      </c>
      <c r="B254" s="15" t="s">
        <v>673</v>
      </c>
      <c r="C254" s="15" t="s">
        <v>52</v>
      </c>
      <c r="D254" s="15" t="s">
        <v>674</v>
      </c>
      <c r="E254" s="15" t="s">
        <v>12</v>
      </c>
      <c r="F254" s="15" t="s">
        <v>675</v>
      </c>
      <c r="G254" s="16" t="n">
        <v>4</v>
      </c>
      <c r="H254" s="17" t="n">
        <v>62</v>
      </c>
      <c r="I254" s="14" t="s">
        <v>55</v>
      </c>
      <c r="J254" s="14" t="s">
        <v>46</v>
      </c>
    </row>
    <row r="255" customFormat="false" ht="15" hidden="false" customHeight="false" outlineLevel="0" collapsed="false">
      <c r="A255" s="14" t="n">
        <v>254</v>
      </c>
      <c r="B255" s="15" t="s">
        <v>676</v>
      </c>
      <c r="C255" s="15" t="s">
        <v>58</v>
      </c>
      <c r="D255" s="15" t="s">
        <v>677</v>
      </c>
      <c r="E255" s="15" t="s">
        <v>12</v>
      </c>
      <c r="F255" s="15" t="s">
        <v>328</v>
      </c>
      <c r="G255" s="16" t="n">
        <v>4.6</v>
      </c>
      <c r="H255" s="17" t="n">
        <v>724</v>
      </c>
      <c r="I255" s="14" t="s">
        <v>61</v>
      </c>
      <c r="J255" s="14" t="s">
        <v>46</v>
      </c>
    </row>
    <row r="256" customFormat="false" ht="15" hidden="false" customHeight="false" outlineLevel="0" collapsed="false">
      <c r="A256" s="14" t="n">
        <v>255</v>
      </c>
      <c r="B256" s="15" t="s">
        <v>678</v>
      </c>
      <c r="C256" s="15" t="s">
        <v>58</v>
      </c>
      <c r="D256" s="15" t="s">
        <v>677</v>
      </c>
      <c r="E256" s="15" t="s">
        <v>12</v>
      </c>
      <c r="F256" s="15" t="s">
        <v>679</v>
      </c>
      <c r="G256" s="16" t="n">
        <v>4.8</v>
      </c>
      <c r="H256" s="17" t="n">
        <v>3771</v>
      </c>
      <c r="I256" s="14" t="s">
        <v>61</v>
      </c>
      <c r="J256" s="14" t="s">
        <v>46</v>
      </c>
    </row>
    <row r="257" customFormat="false" ht="15" hidden="false" customHeight="false" outlineLevel="0" collapsed="false">
      <c r="A257" s="14" t="n">
        <v>256</v>
      </c>
      <c r="B257" s="15" t="s">
        <v>680</v>
      </c>
      <c r="C257" s="15" t="s">
        <v>58</v>
      </c>
      <c r="D257" s="15" t="s">
        <v>681</v>
      </c>
      <c r="E257" s="15" t="s">
        <v>12</v>
      </c>
      <c r="F257" s="15" t="s">
        <v>682</v>
      </c>
      <c r="G257" s="16" t="n">
        <v>4.8</v>
      </c>
      <c r="H257" s="17" t="n">
        <v>8083</v>
      </c>
      <c r="I257" s="14" t="s">
        <v>61</v>
      </c>
      <c r="J257" s="14" t="s">
        <v>46</v>
      </c>
    </row>
    <row r="258" customFormat="false" ht="15" hidden="false" customHeight="false" outlineLevel="0" collapsed="false">
      <c r="A258" s="14" t="n">
        <v>257</v>
      </c>
      <c r="B258" s="15" t="s">
        <v>683</v>
      </c>
      <c r="C258" s="15" t="s">
        <v>58</v>
      </c>
      <c r="D258" s="15" t="s">
        <v>684</v>
      </c>
      <c r="E258" s="15" t="s">
        <v>12</v>
      </c>
      <c r="F258" s="15" t="s">
        <v>685</v>
      </c>
      <c r="G258" s="16" t="n">
        <v>4.8</v>
      </c>
      <c r="H258" s="17" t="n">
        <v>3633</v>
      </c>
      <c r="I258" s="14" t="s">
        <v>61</v>
      </c>
      <c r="J258" s="14" t="s">
        <v>46</v>
      </c>
    </row>
    <row r="259" customFormat="false" ht="15" hidden="false" customHeight="false" outlineLevel="0" collapsed="false">
      <c r="A259" s="14" t="n">
        <v>258</v>
      </c>
      <c r="B259" s="15" t="s">
        <v>686</v>
      </c>
      <c r="C259" s="15" t="s">
        <v>58</v>
      </c>
      <c r="D259" s="15" t="s">
        <v>684</v>
      </c>
      <c r="E259" s="15" t="s">
        <v>12</v>
      </c>
      <c r="F259" s="15" t="s">
        <v>687</v>
      </c>
      <c r="G259" s="16" t="n">
        <v>4</v>
      </c>
      <c r="H259" s="17" t="n">
        <v>1237</v>
      </c>
      <c r="I259" s="14" t="s">
        <v>55</v>
      </c>
      <c r="J259" s="14" t="s">
        <v>56</v>
      </c>
    </row>
    <row r="260" customFormat="false" ht="15" hidden="false" customHeight="false" outlineLevel="0" collapsed="false">
      <c r="A260" s="14" t="n">
        <v>259</v>
      </c>
      <c r="B260" s="15" t="s">
        <v>688</v>
      </c>
      <c r="C260" s="15" t="s">
        <v>58</v>
      </c>
      <c r="D260" s="15" t="s">
        <v>684</v>
      </c>
      <c r="E260" s="15" t="s">
        <v>12</v>
      </c>
      <c r="F260" s="15" t="s">
        <v>689</v>
      </c>
      <c r="G260" s="16" t="n">
        <v>4.9</v>
      </c>
      <c r="H260" s="17" t="n">
        <v>1003</v>
      </c>
      <c r="I260" s="14" t="s">
        <v>61</v>
      </c>
      <c r="J260" s="14" t="s">
        <v>46</v>
      </c>
    </row>
    <row r="261" customFormat="false" ht="15" hidden="false" customHeight="false" outlineLevel="0" collapsed="false">
      <c r="A261" s="14" t="n">
        <v>260</v>
      </c>
      <c r="B261" s="15" t="s">
        <v>690</v>
      </c>
      <c r="C261" s="15" t="s">
        <v>42</v>
      </c>
      <c r="D261" s="15" t="s">
        <v>684</v>
      </c>
      <c r="E261" s="15" t="s">
        <v>12</v>
      </c>
      <c r="F261" s="15" t="s">
        <v>691</v>
      </c>
      <c r="G261" s="16" t="n">
        <v>4.8</v>
      </c>
      <c r="H261" s="17" t="n">
        <v>806</v>
      </c>
      <c r="I261" s="14" t="s">
        <v>55</v>
      </c>
      <c r="J261" s="14" t="s">
        <v>56</v>
      </c>
    </row>
    <row r="262" customFormat="false" ht="15" hidden="false" customHeight="false" outlineLevel="0" collapsed="false">
      <c r="A262" s="14" t="n">
        <v>261</v>
      </c>
      <c r="B262" s="15" t="s">
        <v>692</v>
      </c>
      <c r="C262" s="15" t="s">
        <v>42</v>
      </c>
      <c r="D262" s="15" t="s">
        <v>684</v>
      </c>
      <c r="E262" s="15" t="s">
        <v>12</v>
      </c>
      <c r="F262" s="15" t="s">
        <v>693</v>
      </c>
      <c r="G262" s="16" t="n">
        <v>4.8</v>
      </c>
      <c r="H262" s="17" t="n">
        <v>877</v>
      </c>
      <c r="I262" s="14" t="s">
        <v>55</v>
      </c>
      <c r="J262" s="14" t="s">
        <v>46</v>
      </c>
    </row>
    <row r="263" customFormat="false" ht="15" hidden="false" customHeight="false" outlineLevel="0" collapsed="false">
      <c r="A263" s="14" t="n">
        <v>262</v>
      </c>
      <c r="B263" s="15" t="s">
        <v>694</v>
      </c>
      <c r="C263" s="15" t="s">
        <v>58</v>
      </c>
      <c r="D263" s="15" t="s">
        <v>684</v>
      </c>
      <c r="E263" s="15" t="s">
        <v>12</v>
      </c>
      <c r="F263" s="15" t="s">
        <v>695</v>
      </c>
      <c r="G263" s="16" t="n">
        <v>4.7</v>
      </c>
      <c r="H263" s="17" t="n">
        <v>1636</v>
      </c>
      <c r="I263" s="14" t="s">
        <v>61</v>
      </c>
      <c r="J263" s="14" t="s">
        <v>46</v>
      </c>
    </row>
    <row r="264" customFormat="false" ht="15" hidden="false" customHeight="false" outlineLevel="0" collapsed="false">
      <c r="A264" s="14" t="n">
        <v>263</v>
      </c>
      <c r="B264" s="15" t="s">
        <v>696</v>
      </c>
      <c r="C264" s="15" t="s">
        <v>58</v>
      </c>
      <c r="D264" s="15" t="s">
        <v>684</v>
      </c>
      <c r="E264" s="15" t="s">
        <v>12</v>
      </c>
      <c r="F264" s="15" t="s">
        <v>697</v>
      </c>
      <c r="G264" s="16" t="n">
        <v>4.8</v>
      </c>
      <c r="H264" s="17" t="n">
        <v>3115</v>
      </c>
      <c r="I264" s="14" t="s">
        <v>61</v>
      </c>
      <c r="J264" s="14" t="s">
        <v>46</v>
      </c>
    </row>
    <row r="265" customFormat="false" ht="15" hidden="false" customHeight="false" outlineLevel="0" collapsed="false">
      <c r="A265" s="14" t="n">
        <v>264</v>
      </c>
      <c r="B265" s="15" t="s">
        <v>698</v>
      </c>
      <c r="C265" s="15" t="s">
        <v>58</v>
      </c>
      <c r="D265" s="15" t="s">
        <v>699</v>
      </c>
      <c r="E265" s="15" t="s">
        <v>12</v>
      </c>
      <c r="F265" s="15" t="s">
        <v>328</v>
      </c>
      <c r="G265" s="16" t="n">
        <v>4.9</v>
      </c>
      <c r="H265" s="17" t="n">
        <v>297</v>
      </c>
      <c r="I265" s="14" t="s">
        <v>61</v>
      </c>
      <c r="J265" s="14" t="s">
        <v>46</v>
      </c>
    </row>
    <row r="266" customFormat="false" ht="15" hidden="false" customHeight="false" outlineLevel="0" collapsed="false">
      <c r="A266" s="14" t="n">
        <v>265</v>
      </c>
      <c r="B266" s="15" t="s">
        <v>700</v>
      </c>
      <c r="C266" s="15" t="s">
        <v>58</v>
      </c>
      <c r="D266" s="15" t="s">
        <v>701</v>
      </c>
      <c r="E266" s="15" t="s">
        <v>12</v>
      </c>
      <c r="F266" s="15" t="s">
        <v>702</v>
      </c>
      <c r="G266" s="16" t="n">
        <v>4.5</v>
      </c>
      <c r="H266" s="17" t="n">
        <v>2187</v>
      </c>
      <c r="I266" s="14" t="s">
        <v>55</v>
      </c>
      <c r="J266" s="14" t="s">
        <v>46</v>
      </c>
    </row>
    <row r="267" customFormat="false" ht="15" hidden="false" customHeight="false" outlineLevel="0" collapsed="false">
      <c r="A267" s="14" t="n">
        <v>266</v>
      </c>
      <c r="B267" s="15" t="s">
        <v>703</v>
      </c>
      <c r="C267" s="15" t="s">
        <v>42</v>
      </c>
      <c r="D267" s="15" t="s">
        <v>704</v>
      </c>
      <c r="E267" s="15" t="s">
        <v>12</v>
      </c>
      <c r="F267" s="15" t="s">
        <v>705</v>
      </c>
      <c r="G267" s="16" t="n">
        <v>4.9</v>
      </c>
      <c r="H267" s="17" t="n">
        <v>249</v>
      </c>
      <c r="I267" s="14" t="s">
        <v>55</v>
      </c>
      <c r="J267" s="14" t="s">
        <v>56</v>
      </c>
    </row>
    <row r="268" customFormat="false" ht="15" hidden="false" customHeight="false" outlineLevel="0" collapsed="false">
      <c r="A268" s="14" t="n">
        <v>267</v>
      </c>
      <c r="B268" s="15" t="s">
        <v>706</v>
      </c>
      <c r="C268" s="15" t="s">
        <v>58</v>
      </c>
      <c r="D268" s="15" t="s">
        <v>704</v>
      </c>
      <c r="E268" s="15" t="s">
        <v>12</v>
      </c>
      <c r="F268" s="15" t="s">
        <v>707</v>
      </c>
      <c r="G268" s="16" t="n">
        <v>4.2</v>
      </c>
      <c r="H268" s="17" t="n">
        <v>2338</v>
      </c>
      <c r="I268" s="14" t="s">
        <v>55</v>
      </c>
      <c r="J268" s="14" t="s">
        <v>46</v>
      </c>
    </row>
    <row r="269" customFormat="false" ht="15" hidden="false" customHeight="false" outlineLevel="0" collapsed="false">
      <c r="A269" s="14" t="n">
        <v>268</v>
      </c>
      <c r="B269" s="15" t="s">
        <v>708</v>
      </c>
      <c r="C269" s="15" t="s">
        <v>58</v>
      </c>
      <c r="D269" s="15" t="s">
        <v>704</v>
      </c>
      <c r="E269" s="15" t="s">
        <v>12</v>
      </c>
      <c r="F269" s="15" t="s">
        <v>709</v>
      </c>
      <c r="G269" s="16" t="n">
        <v>4.5</v>
      </c>
      <c r="H269" s="17" t="n">
        <v>17</v>
      </c>
      <c r="I269" s="14" t="s">
        <v>55</v>
      </c>
      <c r="J269" s="14" t="s">
        <v>56</v>
      </c>
    </row>
    <row r="270" customFormat="false" ht="15" hidden="false" customHeight="false" outlineLevel="0" collapsed="false">
      <c r="A270" s="14" t="n">
        <v>269</v>
      </c>
      <c r="B270" s="15" t="s">
        <v>710</v>
      </c>
      <c r="C270" s="15" t="s">
        <v>58</v>
      </c>
      <c r="D270" s="15" t="s">
        <v>704</v>
      </c>
      <c r="E270" s="15" t="s">
        <v>12</v>
      </c>
      <c r="F270" s="15" t="s">
        <v>711</v>
      </c>
      <c r="G270" s="16" t="n">
        <v>4.1</v>
      </c>
      <c r="H270" s="17" t="n">
        <v>488</v>
      </c>
      <c r="I270" s="14" t="s">
        <v>55</v>
      </c>
      <c r="J270" s="14" t="s">
        <v>56</v>
      </c>
    </row>
    <row r="271" customFormat="false" ht="15" hidden="false" customHeight="false" outlineLevel="0" collapsed="false">
      <c r="A271" s="14" t="n">
        <v>270</v>
      </c>
      <c r="B271" s="15" t="s">
        <v>712</v>
      </c>
      <c r="C271" s="15" t="s">
        <v>58</v>
      </c>
      <c r="D271" s="15" t="s">
        <v>713</v>
      </c>
      <c r="E271" s="15" t="s">
        <v>12</v>
      </c>
      <c r="F271" s="15" t="s">
        <v>714</v>
      </c>
      <c r="G271" s="16" t="n">
        <v>4.1</v>
      </c>
      <c r="H271" s="17" t="n">
        <v>101</v>
      </c>
      <c r="I271" s="14" t="s">
        <v>55</v>
      </c>
      <c r="J271" s="14" t="s">
        <v>56</v>
      </c>
    </row>
    <row r="272" customFormat="false" ht="15" hidden="false" customHeight="false" outlineLevel="0" collapsed="false">
      <c r="A272" s="14" t="n">
        <v>271</v>
      </c>
      <c r="B272" s="15" t="s">
        <v>715</v>
      </c>
      <c r="C272" s="15" t="s">
        <v>42</v>
      </c>
      <c r="D272" s="15" t="s">
        <v>716</v>
      </c>
      <c r="E272" s="15" t="s">
        <v>12</v>
      </c>
      <c r="F272" s="15" t="s">
        <v>717</v>
      </c>
      <c r="G272" s="16" t="n">
        <v>4.4</v>
      </c>
      <c r="H272" s="17" t="n">
        <v>3814</v>
      </c>
      <c r="I272" s="14" t="s">
        <v>55</v>
      </c>
      <c r="J272" s="14" t="s">
        <v>46</v>
      </c>
    </row>
    <row r="273" customFormat="false" ht="15" hidden="false" customHeight="false" outlineLevel="0" collapsed="false">
      <c r="A273" s="14" t="n">
        <v>272</v>
      </c>
      <c r="B273" s="15" t="s">
        <v>718</v>
      </c>
      <c r="C273" s="15" t="s">
        <v>58</v>
      </c>
      <c r="D273" s="15" t="s">
        <v>719</v>
      </c>
      <c r="E273" s="15" t="s">
        <v>12</v>
      </c>
      <c r="F273" s="15" t="s">
        <v>720</v>
      </c>
      <c r="G273" s="16" t="n">
        <v>4.9</v>
      </c>
      <c r="H273" s="17" t="n">
        <v>1656</v>
      </c>
      <c r="I273" s="14" t="s">
        <v>61</v>
      </c>
      <c r="J273" s="14" t="s">
        <v>56</v>
      </c>
    </row>
    <row r="274" customFormat="false" ht="15" hidden="false" customHeight="false" outlineLevel="0" collapsed="false">
      <c r="A274" s="14" t="n">
        <v>273</v>
      </c>
      <c r="B274" s="15" t="s">
        <v>721</v>
      </c>
      <c r="C274" s="15" t="s">
        <v>58</v>
      </c>
      <c r="D274" s="15" t="s">
        <v>722</v>
      </c>
      <c r="E274" s="15" t="s">
        <v>12</v>
      </c>
      <c r="F274" s="15" t="s">
        <v>723</v>
      </c>
      <c r="G274" s="16" t="n">
        <v>4.1</v>
      </c>
      <c r="H274" s="17" t="n">
        <v>280</v>
      </c>
      <c r="I274" s="14" t="s">
        <v>55</v>
      </c>
      <c r="J274" s="14" t="s">
        <v>56</v>
      </c>
    </row>
    <row r="275" customFormat="false" ht="15" hidden="false" customHeight="false" outlineLevel="0" collapsed="false">
      <c r="A275" s="14" t="n">
        <v>274</v>
      </c>
      <c r="B275" s="15" t="s">
        <v>724</v>
      </c>
      <c r="C275" s="15" t="s">
        <v>58</v>
      </c>
      <c r="D275" s="15" t="s">
        <v>725</v>
      </c>
      <c r="E275" s="15" t="s">
        <v>12</v>
      </c>
      <c r="F275" s="15" t="s">
        <v>726</v>
      </c>
      <c r="G275" s="16" t="n">
        <v>4.5</v>
      </c>
      <c r="H275" s="17" t="n">
        <v>573</v>
      </c>
      <c r="I275" s="14" t="s">
        <v>55</v>
      </c>
      <c r="J275" s="14" t="s">
        <v>56</v>
      </c>
    </row>
    <row r="276" customFormat="false" ht="15" hidden="false" customHeight="false" outlineLevel="0" collapsed="false">
      <c r="A276" s="14" t="n">
        <v>275</v>
      </c>
      <c r="B276" s="15" t="s">
        <v>727</v>
      </c>
      <c r="C276" s="15" t="s">
        <v>58</v>
      </c>
      <c r="D276" s="15" t="s">
        <v>728</v>
      </c>
      <c r="E276" s="15" t="s">
        <v>12</v>
      </c>
      <c r="F276" s="15" t="s">
        <v>729</v>
      </c>
      <c r="G276" s="16" t="n">
        <v>4.7</v>
      </c>
      <c r="H276" s="17" t="n">
        <v>4953</v>
      </c>
      <c r="I276" s="14" t="s">
        <v>61</v>
      </c>
      <c r="J276" s="14" t="s">
        <v>46</v>
      </c>
    </row>
    <row r="277" customFormat="false" ht="15" hidden="false" customHeight="false" outlineLevel="0" collapsed="false">
      <c r="A277" s="14" t="n">
        <v>276</v>
      </c>
      <c r="B277" s="15" t="s">
        <v>730</v>
      </c>
      <c r="C277" s="15" t="s">
        <v>58</v>
      </c>
      <c r="D277" s="15" t="s">
        <v>731</v>
      </c>
      <c r="E277" s="15" t="s">
        <v>12</v>
      </c>
      <c r="F277" s="15" t="s">
        <v>732</v>
      </c>
      <c r="G277" s="16" t="n">
        <v>4.7</v>
      </c>
      <c r="H277" s="17" t="n">
        <v>3093</v>
      </c>
      <c r="I277" s="14" t="s">
        <v>127</v>
      </c>
      <c r="J277" s="14" t="s">
        <v>46</v>
      </c>
    </row>
    <row r="278" customFormat="false" ht="15" hidden="false" customHeight="false" outlineLevel="0" collapsed="false">
      <c r="A278" s="14" t="n">
        <v>277</v>
      </c>
      <c r="B278" s="15" t="s">
        <v>733</v>
      </c>
      <c r="C278" s="15" t="s">
        <v>42</v>
      </c>
      <c r="D278" s="15" t="s">
        <v>734</v>
      </c>
      <c r="E278" s="15" t="s">
        <v>12</v>
      </c>
      <c r="F278" s="15" t="s">
        <v>735</v>
      </c>
      <c r="G278" s="16" t="n">
        <v>4.7</v>
      </c>
      <c r="H278" s="17" t="n">
        <v>25</v>
      </c>
      <c r="I278" s="14" t="s">
        <v>61</v>
      </c>
      <c r="J278" s="14" t="s">
        <v>46</v>
      </c>
    </row>
    <row r="279" customFormat="false" ht="15" hidden="false" customHeight="false" outlineLevel="0" collapsed="false">
      <c r="A279" s="14" t="n">
        <v>278</v>
      </c>
      <c r="B279" s="15" t="s">
        <v>736</v>
      </c>
      <c r="C279" s="15" t="s">
        <v>58</v>
      </c>
      <c r="D279" s="15" t="s">
        <v>737</v>
      </c>
      <c r="E279" s="15" t="s">
        <v>12</v>
      </c>
      <c r="F279" s="15" t="s">
        <v>738</v>
      </c>
      <c r="G279" s="16" t="n">
        <v>4.4</v>
      </c>
      <c r="H279" s="17" t="n">
        <v>4260</v>
      </c>
      <c r="I279" s="14" t="s">
        <v>55</v>
      </c>
      <c r="J279" s="14" t="s">
        <v>46</v>
      </c>
    </row>
    <row r="280" customFormat="false" ht="15" hidden="false" customHeight="false" outlineLevel="0" collapsed="false">
      <c r="A280" s="14" t="n">
        <v>279</v>
      </c>
      <c r="B280" s="15" t="s">
        <v>739</v>
      </c>
      <c r="C280" s="15" t="s">
        <v>42</v>
      </c>
      <c r="D280" s="15" t="s">
        <v>737</v>
      </c>
      <c r="E280" s="15" t="s">
        <v>12</v>
      </c>
      <c r="F280" s="15" t="s">
        <v>740</v>
      </c>
      <c r="G280" s="16" t="n">
        <v>4.8</v>
      </c>
      <c r="H280" s="17" t="n">
        <v>47</v>
      </c>
      <c r="I280" s="14" t="s">
        <v>55</v>
      </c>
      <c r="J280" s="14" t="s">
        <v>46</v>
      </c>
    </row>
    <row r="281" customFormat="false" ht="15" hidden="false" customHeight="false" outlineLevel="0" collapsed="false">
      <c r="A281" s="14" t="n">
        <v>280</v>
      </c>
      <c r="B281" s="15" t="s">
        <v>741</v>
      </c>
      <c r="C281" s="15" t="s">
        <v>58</v>
      </c>
      <c r="D281" s="15" t="s">
        <v>737</v>
      </c>
      <c r="E281" s="15" t="s">
        <v>12</v>
      </c>
      <c r="F281" s="15" t="s">
        <v>742</v>
      </c>
      <c r="G281" s="16" t="n">
        <v>4</v>
      </c>
      <c r="H281" s="17" t="n">
        <v>519</v>
      </c>
      <c r="I281" s="14" t="s">
        <v>55</v>
      </c>
      <c r="J281" s="14" t="s">
        <v>46</v>
      </c>
    </row>
    <row r="282" customFormat="false" ht="15" hidden="false" customHeight="false" outlineLevel="0" collapsed="false">
      <c r="A282" s="14" t="n">
        <v>281</v>
      </c>
      <c r="B282" s="15" t="s">
        <v>743</v>
      </c>
      <c r="C282" s="15" t="s">
        <v>52</v>
      </c>
      <c r="D282" s="15" t="s">
        <v>737</v>
      </c>
      <c r="E282" s="15" t="s">
        <v>12</v>
      </c>
      <c r="F282" s="15" t="s">
        <v>744</v>
      </c>
      <c r="G282" s="16" t="n">
        <v>3.7</v>
      </c>
      <c r="H282" s="17" t="n">
        <v>44</v>
      </c>
      <c r="I282" s="14" t="s">
        <v>55</v>
      </c>
      <c r="J282" s="14" t="s">
        <v>46</v>
      </c>
    </row>
    <row r="283" customFormat="false" ht="15" hidden="false" customHeight="false" outlineLevel="0" collapsed="false">
      <c r="A283" s="14" t="n">
        <v>282</v>
      </c>
      <c r="B283" s="15" t="s">
        <v>745</v>
      </c>
      <c r="C283" s="15" t="s">
        <v>58</v>
      </c>
      <c r="D283" s="15" t="s">
        <v>737</v>
      </c>
      <c r="E283" s="15" t="s">
        <v>12</v>
      </c>
      <c r="F283" s="15" t="s">
        <v>746</v>
      </c>
      <c r="G283" s="16" t="n">
        <v>4.2</v>
      </c>
      <c r="H283" s="17" t="n">
        <v>297</v>
      </c>
      <c r="I283" s="14" t="s">
        <v>55</v>
      </c>
      <c r="J283" s="14" t="s">
        <v>46</v>
      </c>
    </row>
    <row r="284" customFormat="false" ht="15" hidden="false" customHeight="false" outlineLevel="0" collapsed="false">
      <c r="A284" s="14" t="n">
        <v>283</v>
      </c>
      <c r="B284" s="15" t="s">
        <v>747</v>
      </c>
      <c r="C284" s="15" t="s">
        <v>58</v>
      </c>
      <c r="D284" s="15" t="s">
        <v>737</v>
      </c>
      <c r="E284" s="15" t="s">
        <v>12</v>
      </c>
      <c r="F284" s="15" t="s">
        <v>748</v>
      </c>
      <c r="G284" s="16" t="n">
        <v>4.3</v>
      </c>
      <c r="H284" s="17" t="n">
        <v>1287</v>
      </c>
      <c r="I284" s="14" t="s">
        <v>55</v>
      </c>
      <c r="J284" s="14" t="s">
        <v>46</v>
      </c>
    </row>
    <row r="285" customFormat="false" ht="15" hidden="false" customHeight="false" outlineLevel="0" collapsed="false">
      <c r="A285" s="14" t="n">
        <v>284</v>
      </c>
      <c r="B285" s="15" t="s">
        <v>749</v>
      </c>
      <c r="C285" s="15" t="s">
        <v>58</v>
      </c>
      <c r="D285" s="15" t="s">
        <v>750</v>
      </c>
      <c r="E285" s="15" t="s">
        <v>12</v>
      </c>
      <c r="F285" s="15" t="s">
        <v>751</v>
      </c>
      <c r="G285" s="16" t="n">
        <v>4.8</v>
      </c>
      <c r="H285" s="17" t="n">
        <v>1656</v>
      </c>
      <c r="I285" s="14" t="s">
        <v>61</v>
      </c>
      <c r="J285" s="14" t="s">
        <v>46</v>
      </c>
    </row>
    <row r="286" customFormat="false" ht="15" hidden="false" customHeight="false" outlineLevel="0" collapsed="false">
      <c r="A286" s="14" t="n">
        <v>285</v>
      </c>
      <c r="B286" s="15" t="s">
        <v>752</v>
      </c>
      <c r="C286" s="15" t="s">
        <v>58</v>
      </c>
      <c r="D286" s="15" t="s">
        <v>753</v>
      </c>
      <c r="E286" s="15" t="s">
        <v>12</v>
      </c>
      <c r="F286" s="15" t="s">
        <v>754</v>
      </c>
      <c r="G286" s="16" t="n">
        <v>4.2</v>
      </c>
      <c r="H286" s="17" t="n">
        <v>1486</v>
      </c>
      <c r="I286" s="14" t="s">
        <v>55</v>
      </c>
      <c r="J286" s="14" t="s">
        <v>56</v>
      </c>
    </row>
    <row r="287" customFormat="false" ht="15" hidden="false" customHeight="false" outlineLevel="0" collapsed="false">
      <c r="A287" s="14" t="n">
        <v>286</v>
      </c>
      <c r="B287" s="15" t="s">
        <v>755</v>
      </c>
      <c r="C287" s="15" t="s">
        <v>42</v>
      </c>
      <c r="D287" s="15" t="s">
        <v>753</v>
      </c>
      <c r="E287" s="15" t="s">
        <v>12</v>
      </c>
      <c r="F287" s="15" t="s">
        <v>756</v>
      </c>
      <c r="G287" s="16" t="n">
        <v>4.9</v>
      </c>
      <c r="H287" s="17" t="n">
        <v>2851</v>
      </c>
      <c r="I287" s="14" t="s">
        <v>61</v>
      </c>
      <c r="J287" s="14" t="s">
        <v>46</v>
      </c>
    </row>
    <row r="288" customFormat="false" ht="15" hidden="false" customHeight="false" outlineLevel="0" collapsed="false">
      <c r="A288" s="14" t="n">
        <v>287</v>
      </c>
      <c r="B288" s="15" t="s">
        <v>757</v>
      </c>
      <c r="C288" s="15" t="s">
        <v>58</v>
      </c>
      <c r="D288" s="15" t="s">
        <v>753</v>
      </c>
      <c r="E288" s="15" t="s">
        <v>12</v>
      </c>
      <c r="F288" s="15" t="s">
        <v>758</v>
      </c>
      <c r="G288" s="16" t="n">
        <v>4.8</v>
      </c>
      <c r="H288" s="17" t="n">
        <v>1171</v>
      </c>
      <c r="I288" s="14" t="s">
        <v>61</v>
      </c>
      <c r="J288" s="14" t="s">
        <v>46</v>
      </c>
    </row>
    <row r="289" customFormat="false" ht="15" hidden="false" customHeight="false" outlineLevel="0" collapsed="false">
      <c r="A289" s="14" t="n">
        <v>288</v>
      </c>
      <c r="B289" s="15" t="s">
        <v>759</v>
      </c>
      <c r="C289" s="15" t="s">
        <v>42</v>
      </c>
      <c r="D289" s="15" t="s">
        <v>753</v>
      </c>
      <c r="E289" s="15" t="s">
        <v>12</v>
      </c>
      <c r="F289" s="15" t="s">
        <v>760</v>
      </c>
      <c r="G289" s="16" t="n">
        <v>4.8</v>
      </c>
      <c r="H289" s="17" t="n">
        <v>2857</v>
      </c>
      <c r="I289" s="14" t="s">
        <v>61</v>
      </c>
      <c r="J289" s="14" t="s">
        <v>46</v>
      </c>
    </row>
    <row r="290" customFormat="false" ht="15" hidden="false" customHeight="false" outlineLevel="0" collapsed="false">
      <c r="A290" s="14" t="n">
        <v>289</v>
      </c>
      <c r="B290" s="15" t="s">
        <v>761</v>
      </c>
      <c r="C290" s="15" t="s">
        <v>58</v>
      </c>
      <c r="D290" s="15" t="s">
        <v>753</v>
      </c>
      <c r="E290" s="15" t="s">
        <v>12</v>
      </c>
      <c r="F290" s="15" t="s">
        <v>762</v>
      </c>
      <c r="G290" s="16" t="n">
        <v>4.8</v>
      </c>
      <c r="H290" s="17" t="n">
        <v>339</v>
      </c>
      <c r="I290" s="14" t="s">
        <v>61</v>
      </c>
      <c r="J290" s="14" t="s">
        <v>46</v>
      </c>
    </row>
    <row r="291" customFormat="false" ht="15" hidden="false" customHeight="false" outlineLevel="0" collapsed="false">
      <c r="A291" s="14" t="n">
        <v>290</v>
      </c>
      <c r="B291" s="15" t="s">
        <v>763</v>
      </c>
      <c r="C291" s="15" t="s">
        <v>42</v>
      </c>
      <c r="D291" s="15" t="s">
        <v>753</v>
      </c>
      <c r="E291" s="15" t="s">
        <v>12</v>
      </c>
      <c r="F291" s="15" t="s">
        <v>764</v>
      </c>
      <c r="G291" s="16" t="n">
        <v>4.7</v>
      </c>
      <c r="H291" s="17" t="n">
        <v>4352</v>
      </c>
      <c r="I291" s="14" t="s">
        <v>61</v>
      </c>
      <c r="J291" s="14" t="s">
        <v>46</v>
      </c>
    </row>
    <row r="292" customFormat="false" ht="15" hidden="false" customHeight="false" outlineLevel="0" collapsed="false">
      <c r="A292" s="14" t="n">
        <v>291</v>
      </c>
      <c r="B292" s="15" t="s">
        <v>765</v>
      </c>
      <c r="C292" s="15" t="s">
        <v>58</v>
      </c>
      <c r="D292" s="15" t="s">
        <v>753</v>
      </c>
      <c r="E292" s="15" t="s">
        <v>12</v>
      </c>
      <c r="F292" s="15" t="s">
        <v>766</v>
      </c>
      <c r="G292" s="16" t="n">
        <v>4.9</v>
      </c>
      <c r="H292" s="17" t="n">
        <v>618</v>
      </c>
      <c r="I292" s="14" t="s">
        <v>61</v>
      </c>
      <c r="J292" s="14" t="s">
        <v>46</v>
      </c>
    </row>
    <row r="293" customFormat="false" ht="15" hidden="false" customHeight="false" outlineLevel="0" collapsed="false">
      <c r="A293" s="14" t="n">
        <v>292</v>
      </c>
      <c r="B293" s="15" t="s">
        <v>767</v>
      </c>
      <c r="C293" s="15" t="s">
        <v>42</v>
      </c>
      <c r="D293" s="15" t="s">
        <v>768</v>
      </c>
      <c r="E293" s="15" t="s">
        <v>12</v>
      </c>
      <c r="F293" s="15" t="s">
        <v>769</v>
      </c>
      <c r="G293" s="16" t="n">
        <v>4.2</v>
      </c>
      <c r="H293" s="17" t="n">
        <v>494</v>
      </c>
      <c r="I293" s="14" t="s">
        <v>61</v>
      </c>
      <c r="J293" s="14" t="s">
        <v>46</v>
      </c>
    </row>
    <row r="294" customFormat="false" ht="15" hidden="false" customHeight="false" outlineLevel="0" collapsed="false">
      <c r="A294" s="14" t="n">
        <v>293</v>
      </c>
      <c r="B294" s="15" t="s">
        <v>770</v>
      </c>
      <c r="C294" s="15" t="s">
        <v>42</v>
      </c>
      <c r="D294" s="15" t="s">
        <v>771</v>
      </c>
      <c r="E294" s="15" t="s">
        <v>12</v>
      </c>
      <c r="F294" s="15" t="s">
        <v>772</v>
      </c>
      <c r="G294" s="16" t="n">
        <v>4.4</v>
      </c>
      <c r="H294" s="17" t="n">
        <v>3023</v>
      </c>
      <c r="I294" s="14" t="s">
        <v>61</v>
      </c>
      <c r="J294" s="14" t="s">
        <v>56</v>
      </c>
    </row>
    <row r="295" customFormat="false" ht="15" hidden="false" customHeight="false" outlineLevel="0" collapsed="false">
      <c r="A295" s="14" t="n">
        <v>294</v>
      </c>
      <c r="B295" s="15" t="s">
        <v>773</v>
      </c>
      <c r="C295" s="15" t="s">
        <v>42</v>
      </c>
      <c r="D295" s="15" t="s">
        <v>771</v>
      </c>
      <c r="E295" s="15" t="s">
        <v>12</v>
      </c>
      <c r="F295" s="15" t="s">
        <v>774</v>
      </c>
      <c r="G295" s="16" t="n">
        <v>4.6</v>
      </c>
      <c r="H295" s="17" t="n">
        <v>963</v>
      </c>
      <c r="I295" s="14" t="s">
        <v>61</v>
      </c>
      <c r="J295" s="14" t="s">
        <v>46</v>
      </c>
    </row>
    <row r="296" customFormat="false" ht="15" hidden="false" customHeight="false" outlineLevel="0" collapsed="false">
      <c r="A296" s="14" t="n">
        <v>295</v>
      </c>
      <c r="B296" s="15" t="s">
        <v>775</v>
      </c>
      <c r="C296" s="15" t="s">
        <v>58</v>
      </c>
      <c r="D296" s="15" t="s">
        <v>776</v>
      </c>
      <c r="E296" s="15" t="s">
        <v>12</v>
      </c>
      <c r="F296" s="15" t="s">
        <v>777</v>
      </c>
      <c r="G296" s="16" t="n">
        <v>4.4</v>
      </c>
      <c r="H296" s="17" t="n">
        <v>170</v>
      </c>
      <c r="I296" s="14" t="s">
        <v>61</v>
      </c>
      <c r="J296" s="14" t="s">
        <v>46</v>
      </c>
    </row>
    <row r="297" customFormat="false" ht="15" hidden="false" customHeight="false" outlineLevel="0" collapsed="false">
      <c r="A297" s="14" t="n">
        <v>296</v>
      </c>
      <c r="B297" s="15" t="s">
        <v>778</v>
      </c>
      <c r="C297" s="15" t="s">
        <v>58</v>
      </c>
      <c r="D297" s="15" t="s">
        <v>779</v>
      </c>
      <c r="E297" s="15" t="s">
        <v>12</v>
      </c>
      <c r="F297" s="15" t="s">
        <v>780</v>
      </c>
      <c r="G297" s="16" t="n">
        <v>4.8</v>
      </c>
      <c r="H297" s="17" t="n">
        <v>185</v>
      </c>
      <c r="I297" s="14" t="s">
        <v>61</v>
      </c>
      <c r="J297" s="14" t="s">
        <v>46</v>
      </c>
    </row>
    <row r="298" customFormat="false" ht="15" hidden="false" customHeight="false" outlineLevel="0" collapsed="false">
      <c r="A298" s="14" t="n">
        <v>297</v>
      </c>
      <c r="B298" s="15" t="s">
        <v>781</v>
      </c>
      <c r="C298" s="15" t="s">
        <v>58</v>
      </c>
      <c r="D298" s="15" t="s">
        <v>782</v>
      </c>
      <c r="E298" s="15" t="s">
        <v>12</v>
      </c>
      <c r="F298" s="15" t="s">
        <v>783</v>
      </c>
      <c r="G298" s="16" t="n">
        <v>4.3</v>
      </c>
      <c r="H298" s="17" t="n">
        <v>101</v>
      </c>
      <c r="I298" s="14" t="s">
        <v>61</v>
      </c>
      <c r="J298" s="14" t="s">
        <v>46</v>
      </c>
    </row>
    <row r="299" customFormat="false" ht="15" hidden="false" customHeight="false" outlineLevel="0" collapsed="false">
      <c r="A299" s="14" t="n">
        <v>298</v>
      </c>
      <c r="B299" s="15" t="s">
        <v>784</v>
      </c>
      <c r="C299" s="15" t="s">
        <v>58</v>
      </c>
      <c r="D299" s="15" t="s">
        <v>785</v>
      </c>
      <c r="E299" s="15" t="s">
        <v>12</v>
      </c>
      <c r="F299" s="15" t="s">
        <v>786</v>
      </c>
      <c r="G299" s="16" t="n">
        <v>4.7</v>
      </c>
      <c r="H299" s="17" t="n">
        <v>577</v>
      </c>
      <c r="I299" s="14" t="s">
        <v>61</v>
      </c>
      <c r="J299" s="14" t="s">
        <v>56</v>
      </c>
    </row>
    <row r="300" customFormat="false" ht="15" hidden="false" customHeight="false" outlineLevel="0" collapsed="false">
      <c r="A300" s="14" t="n">
        <v>299</v>
      </c>
      <c r="B300" s="15" t="s">
        <v>787</v>
      </c>
      <c r="C300" s="15" t="s">
        <v>42</v>
      </c>
      <c r="D300" s="15" t="s">
        <v>788</v>
      </c>
      <c r="E300" s="15" t="s">
        <v>12</v>
      </c>
      <c r="F300" s="15" t="s">
        <v>789</v>
      </c>
      <c r="G300" s="16" t="n">
        <v>4.8</v>
      </c>
      <c r="H300" s="17" t="n">
        <v>135</v>
      </c>
      <c r="I300" s="14" t="s">
        <v>55</v>
      </c>
      <c r="J300" s="14" t="s">
        <v>46</v>
      </c>
    </row>
    <row r="301" customFormat="false" ht="15" hidden="false" customHeight="false" outlineLevel="0" collapsed="false">
      <c r="A301" s="14" t="n">
        <v>300</v>
      </c>
      <c r="B301" s="15" t="s">
        <v>790</v>
      </c>
      <c r="C301" s="15" t="s">
        <v>42</v>
      </c>
      <c r="D301" s="15" t="s">
        <v>788</v>
      </c>
      <c r="E301" s="15" t="s">
        <v>12</v>
      </c>
      <c r="F301" s="15" t="s">
        <v>791</v>
      </c>
      <c r="G301" s="16" t="n">
        <v>4.7</v>
      </c>
      <c r="H301" s="17" t="n">
        <v>2047</v>
      </c>
      <c r="I301" s="14" t="s">
        <v>55</v>
      </c>
      <c r="J301" s="14" t="s">
        <v>46</v>
      </c>
    </row>
    <row r="302" customFormat="false" ht="15" hidden="false" customHeight="false" outlineLevel="0" collapsed="false">
      <c r="A302" s="14" t="n">
        <v>301</v>
      </c>
      <c r="B302" s="15" t="s">
        <v>792</v>
      </c>
      <c r="C302" s="15" t="s">
        <v>52</v>
      </c>
      <c r="D302" s="15" t="s">
        <v>793</v>
      </c>
      <c r="E302" s="15" t="s">
        <v>12</v>
      </c>
      <c r="F302" s="15" t="s">
        <v>794</v>
      </c>
      <c r="G302" s="16" t="n">
        <v>4.1</v>
      </c>
      <c r="H302" s="17" t="n">
        <v>582</v>
      </c>
      <c r="I302" s="14" t="s">
        <v>55</v>
      </c>
      <c r="J302" s="14" t="s">
        <v>56</v>
      </c>
    </row>
    <row r="303" customFormat="false" ht="15" hidden="false" customHeight="false" outlineLevel="0" collapsed="false">
      <c r="A303" s="14" t="n">
        <v>302</v>
      </c>
      <c r="B303" s="15" t="s">
        <v>795</v>
      </c>
      <c r="C303" s="15" t="s">
        <v>58</v>
      </c>
      <c r="D303" s="15" t="s">
        <v>796</v>
      </c>
      <c r="E303" s="15" t="s">
        <v>12</v>
      </c>
      <c r="F303" s="15" t="s">
        <v>797</v>
      </c>
      <c r="G303" s="16" t="n">
        <v>4.3</v>
      </c>
      <c r="H303" s="17" t="n">
        <v>1057</v>
      </c>
      <c r="I303" s="14" t="s">
        <v>55</v>
      </c>
      <c r="J303" s="14" t="s">
        <v>46</v>
      </c>
    </row>
    <row r="304" customFormat="false" ht="15" hidden="false" customHeight="false" outlineLevel="0" collapsed="false">
      <c r="A304" s="14" t="n">
        <v>303</v>
      </c>
      <c r="B304" s="15" t="s">
        <v>798</v>
      </c>
      <c r="C304" s="15" t="s">
        <v>58</v>
      </c>
      <c r="D304" s="15" t="s">
        <v>799</v>
      </c>
      <c r="E304" s="15" t="s">
        <v>12</v>
      </c>
      <c r="F304" s="15" t="s">
        <v>800</v>
      </c>
      <c r="G304" s="16" t="n">
        <v>4</v>
      </c>
      <c r="H304" s="17" t="n">
        <v>684</v>
      </c>
      <c r="I304" s="14" t="s">
        <v>55</v>
      </c>
      <c r="J304" s="14" t="s">
        <v>56</v>
      </c>
    </row>
    <row r="305" customFormat="false" ht="15" hidden="false" customHeight="false" outlineLevel="0" collapsed="false">
      <c r="A305" s="14" t="n">
        <v>304</v>
      </c>
      <c r="B305" s="15" t="s">
        <v>801</v>
      </c>
      <c r="C305" s="15" t="s">
        <v>58</v>
      </c>
      <c r="D305" s="15" t="s">
        <v>802</v>
      </c>
      <c r="E305" s="15" t="s">
        <v>12</v>
      </c>
      <c r="F305" s="15" t="s">
        <v>803</v>
      </c>
      <c r="G305" s="16" t="n">
        <v>4.4</v>
      </c>
      <c r="H305" s="17" t="n">
        <v>1008</v>
      </c>
      <c r="I305" s="14" t="s">
        <v>61</v>
      </c>
      <c r="J305" s="14" t="s">
        <v>46</v>
      </c>
    </row>
    <row r="306" customFormat="false" ht="15" hidden="false" customHeight="false" outlineLevel="0" collapsed="false">
      <c r="A306" s="14" t="n">
        <v>305</v>
      </c>
      <c r="B306" s="15" t="s">
        <v>804</v>
      </c>
      <c r="C306" s="15" t="s">
        <v>58</v>
      </c>
      <c r="D306" s="15" t="s">
        <v>805</v>
      </c>
      <c r="E306" s="15" t="s">
        <v>12</v>
      </c>
      <c r="F306" s="15" t="s">
        <v>127</v>
      </c>
      <c r="G306" s="16" t="n">
        <v>4.1</v>
      </c>
      <c r="H306" s="17" t="n">
        <v>9</v>
      </c>
      <c r="I306" s="14" t="s">
        <v>127</v>
      </c>
      <c r="J306" s="14" t="s">
        <v>46</v>
      </c>
    </row>
    <row r="307" customFormat="false" ht="15" hidden="false" customHeight="false" outlineLevel="0" collapsed="false">
      <c r="A307" s="14" t="n">
        <v>306</v>
      </c>
      <c r="B307" s="15" t="s">
        <v>806</v>
      </c>
      <c r="C307" s="15" t="s">
        <v>58</v>
      </c>
      <c r="D307" s="15" t="s">
        <v>805</v>
      </c>
      <c r="E307" s="15" t="s">
        <v>12</v>
      </c>
      <c r="F307" s="15" t="s">
        <v>328</v>
      </c>
      <c r="G307" s="16" t="n">
        <v>3.9</v>
      </c>
      <c r="H307" s="17" t="n">
        <v>220</v>
      </c>
      <c r="I307" s="14" t="s">
        <v>61</v>
      </c>
      <c r="J307" s="14" t="s">
        <v>46</v>
      </c>
    </row>
    <row r="308" customFormat="false" ht="15" hidden="false" customHeight="false" outlineLevel="0" collapsed="false">
      <c r="A308" s="14" t="n">
        <v>307</v>
      </c>
      <c r="B308" s="15" t="s">
        <v>807</v>
      </c>
      <c r="C308" s="15" t="s">
        <v>52</v>
      </c>
      <c r="D308" s="15" t="s">
        <v>808</v>
      </c>
      <c r="E308" s="15" t="s">
        <v>12</v>
      </c>
      <c r="F308" s="15" t="s">
        <v>809</v>
      </c>
      <c r="G308" s="16" t="n">
        <v>4.1</v>
      </c>
      <c r="H308" s="17" t="n">
        <v>572</v>
      </c>
      <c r="I308" s="14" t="s">
        <v>55</v>
      </c>
      <c r="J308" s="14" t="s">
        <v>46</v>
      </c>
    </row>
    <row r="309" customFormat="false" ht="15" hidden="false" customHeight="false" outlineLevel="0" collapsed="false">
      <c r="A309" s="14" t="n">
        <v>308</v>
      </c>
      <c r="B309" s="15" t="s">
        <v>810</v>
      </c>
      <c r="C309" s="15" t="s">
        <v>58</v>
      </c>
      <c r="D309" s="15" t="s">
        <v>811</v>
      </c>
      <c r="E309" s="15" t="s">
        <v>12</v>
      </c>
      <c r="F309" s="15" t="s">
        <v>812</v>
      </c>
      <c r="G309" s="16" t="n">
        <v>4.4</v>
      </c>
      <c r="H309" s="17" t="n">
        <v>5244</v>
      </c>
      <c r="I309" s="14" t="s">
        <v>55</v>
      </c>
      <c r="J309" s="14" t="s">
        <v>56</v>
      </c>
    </row>
    <row r="310" customFormat="false" ht="15" hidden="false" customHeight="false" outlineLevel="0" collapsed="false">
      <c r="A310" s="14" t="n">
        <v>309</v>
      </c>
      <c r="B310" s="15" t="s">
        <v>813</v>
      </c>
      <c r="C310" s="15" t="s">
        <v>42</v>
      </c>
      <c r="D310" s="15" t="s">
        <v>814</v>
      </c>
      <c r="E310" s="15" t="s">
        <v>12</v>
      </c>
      <c r="F310" s="15" t="s">
        <v>815</v>
      </c>
      <c r="G310" s="16" t="n">
        <v>4.4</v>
      </c>
      <c r="H310" s="17" t="n">
        <v>94</v>
      </c>
      <c r="I310" s="14" t="s">
        <v>55</v>
      </c>
      <c r="J310" s="14" t="s">
        <v>56</v>
      </c>
    </row>
    <row r="311" customFormat="false" ht="15" hidden="false" customHeight="false" outlineLevel="0" collapsed="false">
      <c r="A311" s="14" t="n">
        <v>310</v>
      </c>
      <c r="B311" s="15" t="s">
        <v>816</v>
      </c>
      <c r="C311" s="15" t="s">
        <v>58</v>
      </c>
      <c r="D311" s="15" t="s">
        <v>817</v>
      </c>
      <c r="E311" s="15" t="s">
        <v>12</v>
      </c>
      <c r="F311" s="15" t="s">
        <v>818</v>
      </c>
      <c r="G311" s="16" t="n">
        <v>4</v>
      </c>
      <c r="H311" s="17" t="n">
        <v>501</v>
      </c>
      <c r="I311" s="14" t="s">
        <v>55</v>
      </c>
      <c r="J311" s="14" t="s">
        <v>56</v>
      </c>
    </row>
    <row r="312" customFormat="false" ht="15" hidden="false" customHeight="false" outlineLevel="0" collapsed="false">
      <c r="A312" s="14" t="n">
        <v>311</v>
      </c>
      <c r="B312" s="15" t="s">
        <v>819</v>
      </c>
      <c r="C312" s="15" t="s">
        <v>42</v>
      </c>
      <c r="D312" s="15" t="s">
        <v>820</v>
      </c>
      <c r="E312" s="15" t="s">
        <v>12</v>
      </c>
      <c r="F312" s="15" t="s">
        <v>821</v>
      </c>
      <c r="G312" s="16" t="n">
        <v>4.2</v>
      </c>
      <c r="H312" s="17" t="n">
        <v>366</v>
      </c>
      <c r="I312" s="14" t="s">
        <v>55</v>
      </c>
      <c r="J312" s="14" t="s">
        <v>56</v>
      </c>
    </row>
    <row r="313" customFormat="false" ht="15" hidden="false" customHeight="false" outlineLevel="0" collapsed="false">
      <c r="A313" s="14" t="n">
        <v>312</v>
      </c>
      <c r="B313" s="15" t="s">
        <v>822</v>
      </c>
      <c r="C313" s="15" t="s">
        <v>52</v>
      </c>
      <c r="D313" s="15" t="s">
        <v>823</v>
      </c>
      <c r="E313" s="15" t="s">
        <v>12</v>
      </c>
      <c r="F313" s="15" t="s">
        <v>824</v>
      </c>
      <c r="G313" s="16" t="n">
        <v>4.1</v>
      </c>
      <c r="H313" s="17" t="n">
        <v>2379</v>
      </c>
      <c r="I313" s="14" t="s">
        <v>55</v>
      </c>
      <c r="J313" s="14" t="s">
        <v>46</v>
      </c>
    </row>
    <row r="314" customFormat="false" ht="15" hidden="false" customHeight="false" outlineLevel="0" collapsed="false">
      <c r="A314" s="14" t="n">
        <v>313</v>
      </c>
      <c r="B314" s="15" t="s">
        <v>825</v>
      </c>
      <c r="C314" s="15" t="s">
        <v>58</v>
      </c>
      <c r="D314" s="15" t="s">
        <v>826</v>
      </c>
      <c r="E314" s="15" t="s">
        <v>12</v>
      </c>
      <c r="F314" s="15" t="s">
        <v>827</v>
      </c>
      <c r="G314" s="16" t="n">
        <v>4.9</v>
      </c>
      <c r="H314" s="17" t="n">
        <v>230</v>
      </c>
      <c r="I314" s="14" t="s">
        <v>61</v>
      </c>
      <c r="J314" s="14" t="s">
        <v>46</v>
      </c>
    </row>
    <row r="315" customFormat="false" ht="15" hidden="false" customHeight="false" outlineLevel="0" collapsed="false">
      <c r="A315" s="14" t="n">
        <v>314</v>
      </c>
      <c r="B315" s="15" t="s">
        <v>828</v>
      </c>
      <c r="C315" s="15" t="s">
        <v>42</v>
      </c>
      <c r="D315" s="15" t="s">
        <v>829</v>
      </c>
      <c r="E315" s="15" t="s">
        <v>12</v>
      </c>
      <c r="F315" s="15" t="s">
        <v>830</v>
      </c>
      <c r="G315" s="16" t="n">
        <v>4.8</v>
      </c>
      <c r="H315" s="17" t="n">
        <v>658</v>
      </c>
      <c r="I315" s="14" t="s">
        <v>61</v>
      </c>
      <c r="J315" s="14" t="s">
        <v>46</v>
      </c>
    </row>
    <row r="316" customFormat="false" ht="15" hidden="false" customHeight="false" outlineLevel="0" collapsed="false">
      <c r="A316" s="14" t="n">
        <v>315</v>
      </c>
      <c r="B316" s="15" t="s">
        <v>831</v>
      </c>
      <c r="C316" s="15" t="s">
        <v>58</v>
      </c>
      <c r="D316" s="15" t="s">
        <v>829</v>
      </c>
      <c r="E316" s="15" t="s">
        <v>12</v>
      </c>
      <c r="F316" s="15" t="s">
        <v>832</v>
      </c>
      <c r="G316" s="16" t="n">
        <v>4.7</v>
      </c>
      <c r="H316" s="17" t="n">
        <v>2992</v>
      </c>
      <c r="I316" s="14" t="s">
        <v>61</v>
      </c>
      <c r="J316" s="14" t="s">
        <v>46</v>
      </c>
    </row>
    <row r="317" customFormat="false" ht="15" hidden="false" customHeight="false" outlineLevel="0" collapsed="false">
      <c r="A317" s="14" t="n">
        <v>316</v>
      </c>
      <c r="B317" s="15" t="s">
        <v>833</v>
      </c>
      <c r="C317" s="15" t="s">
        <v>58</v>
      </c>
      <c r="D317" s="15" t="s">
        <v>829</v>
      </c>
      <c r="E317" s="15" t="s">
        <v>12</v>
      </c>
      <c r="F317" s="15" t="s">
        <v>834</v>
      </c>
      <c r="G317" s="16" t="n">
        <v>4.5</v>
      </c>
      <c r="H317" s="17" t="n">
        <v>45</v>
      </c>
      <c r="I317" s="14" t="s">
        <v>61</v>
      </c>
      <c r="J317" s="14" t="s">
        <v>46</v>
      </c>
    </row>
    <row r="318" customFormat="false" ht="15" hidden="false" customHeight="false" outlineLevel="0" collapsed="false">
      <c r="A318" s="14" t="n">
        <v>317</v>
      </c>
      <c r="B318" s="15" t="s">
        <v>835</v>
      </c>
      <c r="C318" s="15" t="s">
        <v>58</v>
      </c>
      <c r="D318" s="15" t="s">
        <v>829</v>
      </c>
      <c r="E318" s="15" t="s">
        <v>12</v>
      </c>
      <c r="F318" s="15" t="s">
        <v>836</v>
      </c>
      <c r="G318" s="16" t="n">
        <v>4.9</v>
      </c>
      <c r="H318" s="17" t="n">
        <v>374</v>
      </c>
      <c r="I318" s="14" t="s">
        <v>61</v>
      </c>
      <c r="J318" s="14" t="s">
        <v>46</v>
      </c>
    </row>
    <row r="319" customFormat="false" ht="15" hidden="false" customHeight="false" outlineLevel="0" collapsed="false">
      <c r="A319" s="14" t="n">
        <v>318</v>
      </c>
      <c r="B319" s="15" t="s">
        <v>837</v>
      </c>
      <c r="C319" s="15" t="s">
        <v>42</v>
      </c>
      <c r="D319" s="15" t="s">
        <v>838</v>
      </c>
      <c r="E319" s="15" t="s">
        <v>12</v>
      </c>
      <c r="F319" s="15" t="s">
        <v>839</v>
      </c>
      <c r="G319" s="16" t="n">
        <v>4.5</v>
      </c>
      <c r="H319" s="17" t="n">
        <v>855</v>
      </c>
      <c r="I319" s="14" t="s">
        <v>61</v>
      </c>
      <c r="J319" s="14" t="s">
        <v>46</v>
      </c>
    </row>
    <row r="320" customFormat="false" ht="15" hidden="false" customHeight="false" outlineLevel="0" collapsed="false">
      <c r="A320" s="14" t="n">
        <v>319</v>
      </c>
      <c r="B320" s="15" t="s">
        <v>840</v>
      </c>
      <c r="C320" s="15" t="s">
        <v>42</v>
      </c>
      <c r="D320" s="15" t="s">
        <v>841</v>
      </c>
      <c r="E320" s="15" t="s">
        <v>12</v>
      </c>
      <c r="F320" s="15" t="s">
        <v>842</v>
      </c>
      <c r="G320" s="16" t="n">
        <v>4.5</v>
      </c>
      <c r="H320" s="17" t="n">
        <v>232</v>
      </c>
      <c r="I320" s="14" t="s">
        <v>61</v>
      </c>
      <c r="J320" s="14" t="s">
        <v>46</v>
      </c>
    </row>
    <row r="321" customFormat="false" ht="15" hidden="false" customHeight="false" outlineLevel="0" collapsed="false">
      <c r="A321" s="14" t="n">
        <v>320</v>
      </c>
      <c r="B321" s="15" t="s">
        <v>843</v>
      </c>
      <c r="C321" s="15" t="s">
        <v>42</v>
      </c>
      <c r="D321" s="15" t="s">
        <v>844</v>
      </c>
      <c r="E321" s="15" t="s">
        <v>12</v>
      </c>
      <c r="F321" s="15" t="s">
        <v>845</v>
      </c>
      <c r="G321" s="16" t="n">
        <v>3.9</v>
      </c>
      <c r="H321" s="17" t="n">
        <v>1257</v>
      </c>
      <c r="I321" s="14" t="s">
        <v>61</v>
      </c>
      <c r="J321" s="14" t="s">
        <v>56</v>
      </c>
    </row>
    <row r="322" customFormat="false" ht="15" hidden="false" customHeight="false" outlineLevel="0" collapsed="false">
      <c r="A322" s="14" t="n">
        <v>321</v>
      </c>
      <c r="B322" s="15" t="s">
        <v>846</v>
      </c>
      <c r="C322" s="15" t="s">
        <v>58</v>
      </c>
      <c r="D322" s="15" t="s">
        <v>847</v>
      </c>
      <c r="E322" s="15" t="s">
        <v>12</v>
      </c>
      <c r="F322" s="15" t="s">
        <v>848</v>
      </c>
      <c r="G322" s="16" t="n">
        <v>4.5</v>
      </c>
      <c r="H322" s="17" t="n">
        <v>2090</v>
      </c>
      <c r="I322" s="14" t="s">
        <v>127</v>
      </c>
      <c r="J322" s="14" t="s">
        <v>46</v>
      </c>
    </row>
    <row r="323" customFormat="false" ht="15" hidden="false" customHeight="false" outlineLevel="0" collapsed="false">
      <c r="A323" s="14" t="n">
        <v>322</v>
      </c>
      <c r="B323" s="15" t="s">
        <v>849</v>
      </c>
      <c r="C323" s="15" t="s">
        <v>58</v>
      </c>
      <c r="D323" s="15" t="s">
        <v>850</v>
      </c>
      <c r="E323" s="15" t="s">
        <v>12</v>
      </c>
      <c r="F323" s="15" t="s">
        <v>851</v>
      </c>
      <c r="G323" s="16" t="n">
        <v>4.3</v>
      </c>
      <c r="H323" s="17" t="n">
        <v>1372</v>
      </c>
      <c r="I323" s="14" t="s">
        <v>127</v>
      </c>
      <c r="J323" s="14" t="s">
        <v>46</v>
      </c>
    </row>
    <row r="324" customFormat="false" ht="15" hidden="false" customHeight="false" outlineLevel="0" collapsed="false">
      <c r="A324" s="14" t="n">
        <v>323</v>
      </c>
      <c r="B324" s="15" t="s">
        <v>852</v>
      </c>
      <c r="C324" s="15" t="s">
        <v>58</v>
      </c>
      <c r="D324" s="15" t="s">
        <v>850</v>
      </c>
      <c r="E324" s="15" t="s">
        <v>12</v>
      </c>
      <c r="F324" s="15" t="s">
        <v>853</v>
      </c>
      <c r="G324" s="16" t="n">
        <v>4.8</v>
      </c>
      <c r="H324" s="17" t="n">
        <v>2321</v>
      </c>
      <c r="I324" s="14" t="s">
        <v>127</v>
      </c>
      <c r="J324" s="14" t="s">
        <v>46</v>
      </c>
    </row>
    <row r="325" customFormat="false" ht="15" hidden="false" customHeight="false" outlineLevel="0" collapsed="false">
      <c r="A325" s="14" t="n">
        <v>324</v>
      </c>
      <c r="B325" s="15" t="s">
        <v>854</v>
      </c>
      <c r="C325" s="15" t="s">
        <v>58</v>
      </c>
      <c r="D325" s="15" t="s">
        <v>850</v>
      </c>
      <c r="E325" s="15" t="s">
        <v>12</v>
      </c>
      <c r="F325" s="15" t="s">
        <v>855</v>
      </c>
      <c r="G325" s="16" t="n">
        <v>4.8</v>
      </c>
      <c r="H325" s="17" t="n">
        <v>2427</v>
      </c>
      <c r="I325" s="14" t="s">
        <v>127</v>
      </c>
      <c r="J325" s="14" t="s">
        <v>46</v>
      </c>
    </row>
    <row r="326" customFormat="false" ht="15" hidden="false" customHeight="false" outlineLevel="0" collapsed="false">
      <c r="A326" s="14" t="n">
        <v>325</v>
      </c>
      <c r="B326" s="15" t="s">
        <v>856</v>
      </c>
      <c r="C326" s="15" t="s">
        <v>58</v>
      </c>
      <c r="D326" s="15" t="s">
        <v>850</v>
      </c>
      <c r="E326" s="15" t="s">
        <v>12</v>
      </c>
      <c r="F326" s="15" t="s">
        <v>857</v>
      </c>
      <c r="G326" s="16" t="n">
        <v>4.5</v>
      </c>
      <c r="H326" s="17" t="n">
        <v>856</v>
      </c>
      <c r="I326" s="14" t="s">
        <v>61</v>
      </c>
      <c r="J326" s="14" t="s">
        <v>46</v>
      </c>
    </row>
    <row r="327" customFormat="false" ht="15" hidden="false" customHeight="false" outlineLevel="0" collapsed="false">
      <c r="A327" s="14" t="n">
        <v>326</v>
      </c>
      <c r="B327" s="15" t="s">
        <v>858</v>
      </c>
      <c r="C327" s="15" t="s">
        <v>58</v>
      </c>
      <c r="D327" s="15" t="s">
        <v>859</v>
      </c>
      <c r="E327" s="15" t="s">
        <v>12</v>
      </c>
      <c r="F327" s="15" t="s">
        <v>860</v>
      </c>
      <c r="G327" s="16" t="n">
        <v>4.9</v>
      </c>
      <c r="H327" s="17" t="n">
        <v>12393</v>
      </c>
      <c r="I327" s="14" t="s">
        <v>61</v>
      </c>
      <c r="J327" s="14" t="s">
        <v>46</v>
      </c>
    </row>
    <row r="328" customFormat="false" ht="15" hidden="false" customHeight="false" outlineLevel="0" collapsed="false">
      <c r="A328" s="14" t="n">
        <v>327</v>
      </c>
      <c r="B328" s="15" t="s">
        <v>861</v>
      </c>
      <c r="C328" s="15" t="s">
        <v>58</v>
      </c>
      <c r="D328" s="15" t="s">
        <v>859</v>
      </c>
      <c r="E328" s="15" t="s">
        <v>12</v>
      </c>
      <c r="F328" s="15" t="s">
        <v>328</v>
      </c>
      <c r="G328" s="16" t="n">
        <v>4.8</v>
      </c>
      <c r="H328" s="17" t="n">
        <v>6468</v>
      </c>
      <c r="I328" s="14" t="s">
        <v>61</v>
      </c>
      <c r="J328" s="14" t="s">
        <v>46</v>
      </c>
    </row>
    <row r="329" customFormat="false" ht="15" hidden="false" customHeight="false" outlineLevel="0" collapsed="false">
      <c r="A329" s="14" t="n">
        <v>328</v>
      </c>
      <c r="B329" s="15" t="s">
        <v>862</v>
      </c>
      <c r="C329" s="15" t="s">
        <v>58</v>
      </c>
      <c r="D329" s="15" t="s">
        <v>863</v>
      </c>
      <c r="E329" s="15" t="s">
        <v>12</v>
      </c>
      <c r="F329" s="15" t="s">
        <v>864</v>
      </c>
      <c r="G329" s="16" t="n">
        <v>4.7</v>
      </c>
      <c r="H329" s="17" t="n">
        <v>928</v>
      </c>
      <c r="I329" s="14" t="s">
        <v>127</v>
      </c>
      <c r="J329" s="14" t="s">
        <v>46</v>
      </c>
    </row>
    <row r="330" customFormat="false" ht="15" hidden="false" customHeight="false" outlineLevel="0" collapsed="false">
      <c r="A330" s="14" t="n">
        <v>329</v>
      </c>
      <c r="B330" s="15" t="s">
        <v>865</v>
      </c>
      <c r="C330" s="15" t="s">
        <v>58</v>
      </c>
      <c r="D330" s="15" t="s">
        <v>863</v>
      </c>
      <c r="E330" s="15" t="s">
        <v>12</v>
      </c>
      <c r="F330" s="15" t="s">
        <v>866</v>
      </c>
      <c r="G330" s="16" t="n">
        <v>4.4</v>
      </c>
      <c r="H330" s="17" t="n">
        <v>361</v>
      </c>
      <c r="I330" s="14" t="s">
        <v>61</v>
      </c>
      <c r="J330" s="14" t="s">
        <v>46</v>
      </c>
    </row>
    <row r="331" customFormat="false" ht="15" hidden="false" customHeight="false" outlineLevel="0" collapsed="false">
      <c r="A331" s="14" t="n">
        <v>330</v>
      </c>
      <c r="B331" s="15" t="s">
        <v>867</v>
      </c>
      <c r="C331" s="15" t="s">
        <v>52</v>
      </c>
      <c r="D331" s="15" t="s">
        <v>868</v>
      </c>
      <c r="E331" s="15" t="s">
        <v>13</v>
      </c>
      <c r="F331" s="15" t="s">
        <v>869</v>
      </c>
      <c r="G331" s="16" t="n">
        <v>3.2</v>
      </c>
      <c r="H331" s="17" t="n">
        <v>108</v>
      </c>
      <c r="I331" s="14" t="s">
        <v>55</v>
      </c>
      <c r="J331" s="14" t="s">
        <v>56</v>
      </c>
    </row>
    <row r="332" customFormat="false" ht="15" hidden="false" customHeight="false" outlineLevel="0" collapsed="false">
      <c r="A332" s="14" t="n">
        <v>331</v>
      </c>
      <c r="B332" s="15" t="s">
        <v>870</v>
      </c>
      <c r="C332" s="15" t="s">
        <v>52</v>
      </c>
      <c r="D332" s="15" t="s">
        <v>868</v>
      </c>
      <c r="E332" s="15" t="s">
        <v>13</v>
      </c>
      <c r="F332" s="15" t="s">
        <v>871</v>
      </c>
      <c r="G332" s="16" t="n">
        <v>4</v>
      </c>
      <c r="H332" s="17" t="n">
        <v>208</v>
      </c>
      <c r="I332" s="14" t="s">
        <v>55</v>
      </c>
      <c r="J332" s="14" t="s">
        <v>46</v>
      </c>
    </row>
    <row r="333" customFormat="false" ht="15" hidden="false" customHeight="false" outlineLevel="0" collapsed="false">
      <c r="A333" s="14" t="n">
        <v>332</v>
      </c>
      <c r="B333" s="15" t="s">
        <v>872</v>
      </c>
      <c r="C333" s="15" t="s">
        <v>52</v>
      </c>
      <c r="D333" s="15" t="s">
        <v>868</v>
      </c>
      <c r="E333" s="15" t="s">
        <v>13</v>
      </c>
      <c r="F333" s="15" t="s">
        <v>873</v>
      </c>
      <c r="G333" s="16" t="n">
        <v>3.4</v>
      </c>
      <c r="H333" s="17" t="n">
        <v>89</v>
      </c>
      <c r="I333" s="14" t="s">
        <v>55</v>
      </c>
      <c r="J333" s="14" t="s">
        <v>46</v>
      </c>
    </row>
    <row r="334" customFormat="false" ht="15" hidden="false" customHeight="false" outlineLevel="0" collapsed="false">
      <c r="A334" s="14" t="n">
        <v>333</v>
      </c>
      <c r="B334" s="15" t="s">
        <v>874</v>
      </c>
      <c r="C334" s="15" t="s">
        <v>58</v>
      </c>
      <c r="D334" s="15" t="s">
        <v>875</v>
      </c>
      <c r="E334" s="15" t="s">
        <v>13</v>
      </c>
      <c r="F334" s="15" t="s">
        <v>876</v>
      </c>
      <c r="G334" s="16" t="n">
        <v>4.9</v>
      </c>
      <c r="H334" s="17" t="n">
        <v>2812</v>
      </c>
      <c r="I334" s="14" t="s">
        <v>61</v>
      </c>
      <c r="J334" s="14" t="s">
        <v>46</v>
      </c>
    </row>
    <row r="335" customFormat="false" ht="15" hidden="false" customHeight="false" outlineLevel="0" collapsed="false">
      <c r="A335" s="14" t="n">
        <v>334</v>
      </c>
      <c r="B335" s="15" t="s">
        <v>877</v>
      </c>
      <c r="C335" s="15" t="s">
        <v>42</v>
      </c>
      <c r="D335" s="15" t="s">
        <v>878</v>
      </c>
      <c r="E335" s="15" t="s">
        <v>13</v>
      </c>
      <c r="F335" s="15" t="s">
        <v>879</v>
      </c>
      <c r="G335" s="16" t="n">
        <v>4.8</v>
      </c>
      <c r="H335" s="17" t="n">
        <v>339</v>
      </c>
      <c r="I335" s="14" t="s">
        <v>55</v>
      </c>
      <c r="J335" s="14" t="s">
        <v>46</v>
      </c>
    </row>
    <row r="336" customFormat="false" ht="15" hidden="false" customHeight="false" outlineLevel="0" collapsed="false">
      <c r="A336" s="14" t="n">
        <v>335</v>
      </c>
      <c r="B336" s="15" t="s">
        <v>880</v>
      </c>
      <c r="C336" s="15" t="s">
        <v>58</v>
      </c>
      <c r="D336" s="15" t="s">
        <v>878</v>
      </c>
      <c r="E336" s="15" t="s">
        <v>13</v>
      </c>
      <c r="F336" s="15" t="s">
        <v>881</v>
      </c>
      <c r="G336" s="16" t="n">
        <v>4.4</v>
      </c>
      <c r="H336" s="17" t="n">
        <v>3761</v>
      </c>
      <c r="I336" s="14" t="s">
        <v>127</v>
      </c>
      <c r="J336" s="14" t="s">
        <v>46</v>
      </c>
    </row>
    <row r="337" customFormat="false" ht="15" hidden="false" customHeight="false" outlineLevel="0" collapsed="false">
      <c r="A337" s="14" t="n">
        <v>336</v>
      </c>
      <c r="B337" s="15" t="s">
        <v>882</v>
      </c>
      <c r="C337" s="15" t="s">
        <v>42</v>
      </c>
      <c r="D337" s="15" t="s">
        <v>883</v>
      </c>
      <c r="E337" s="15" t="s">
        <v>13</v>
      </c>
      <c r="F337" s="15" t="s">
        <v>884</v>
      </c>
      <c r="G337" s="16" t="n">
        <v>4.8</v>
      </c>
      <c r="H337" s="17" t="n">
        <v>80</v>
      </c>
      <c r="I337" s="14" t="s">
        <v>55</v>
      </c>
      <c r="J337" s="14" t="s">
        <v>46</v>
      </c>
    </row>
    <row r="338" customFormat="false" ht="15" hidden="false" customHeight="false" outlineLevel="0" collapsed="false">
      <c r="A338" s="14" t="n">
        <v>337</v>
      </c>
      <c r="B338" s="15" t="s">
        <v>885</v>
      </c>
      <c r="C338" s="15" t="s">
        <v>52</v>
      </c>
      <c r="D338" s="15" t="s">
        <v>886</v>
      </c>
      <c r="E338" s="15" t="s">
        <v>13</v>
      </c>
      <c r="F338" s="15" t="s">
        <v>887</v>
      </c>
      <c r="G338" s="16" t="n">
        <v>3.6</v>
      </c>
      <c r="H338" s="17" t="n">
        <v>67</v>
      </c>
      <c r="I338" s="14" t="s">
        <v>55</v>
      </c>
      <c r="J338" s="14" t="s">
        <v>46</v>
      </c>
    </row>
    <row r="339" customFormat="false" ht="15" hidden="false" customHeight="false" outlineLevel="0" collapsed="false">
      <c r="A339" s="14" t="n">
        <v>338</v>
      </c>
      <c r="B339" s="15" t="s">
        <v>888</v>
      </c>
      <c r="C339" s="15" t="s">
        <v>42</v>
      </c>
      <c r="D339" s="15" t="s">
        <v>889</v>
      </c>
      <c r="E339" s="15" t="s">
        <v>13</v>
      </c>
      <c r="F339" s="15" t="s">
        <v>890</v>
      </c>
      <c r="G339" s="16" t="n">
        <v>5</v>
      </c>
      <c r="H339" s="17" t="n">
        <v>42</v>
      </c>
      <c r="I339" s="14" t="s">
        <v>55</v>
      </c>
      <c r="J339" s="14" t="s">
        <v>46</v>
      </c>
    </row>
    <row r="340" customFormat="false" ht="15" hidden="false" customHeight="false" outlineLevel="0" collapsed="false">
      <c r="A340" s="14" t="n">
        <v>339</v>
      </c>
      <c r="B340" s="15" t="s">
        <v>891</v>
      </c>
      <c r="C340" s="15" t="s">
        <v>58</v>
      </c>
      <c r="D340" s="15" t="s">
        <v>892</v>
      </c>
      <c r="E340" s="15" t="s">
        <v>13</v>
      </c>
      <c r="F340" s="15" t="s">
        <v>127</v>
      </c>
      <c r="G340" s="16" t="n">
        <v>4.9</v>
      </c>
      <c r="H340" s="17" t="n">
        <v>138</v>
      </c>
      <c r="I340" s="14" t="s">
        <v>55</v>
      </c>
      <c r="J340" s="14" t="s">
        <v>46</v>
      </c>
    </row>
    <row r="341" customFormat="false" ht="15" hidden="false" customHeight="false" outlineLevel="0" collapsed="false">
      <c r="A341" s="14" t="n">
        <v>340</v>
      </c>
      <c r="B341" s="15" t="s">
        <v>893</v>
      </c>
      <c r="C341" s="15" t="s">
        <v>42</v>
      </c>
      <c r="D341" s="15" t="s">
        <v>892</v>
      </c>
      <c r="E341" s="15" t="s">
        <v>13</v>
      </c>
      <c r="F341" s="15" t="s">
        <v>894</v>
      </c>
      <c r="G341" s="16" t="n">
        <v>4.8</v>
      </c>
      <c r="H341" s="17" t="n">
        <v>120</v>
      </c>
      <c r="I341" s="14" t="s">
        <v>61</v>
      </c>
      <c r="J341" s="14" t="s">
        <v>56</v>
      </c>
    </row>
    <row r="342" customFormat="false" ht="15" hidden="false" customHeight="false" outlineLevel="0" collapsed="false">
      <c r="A342" s="14" t="n">
        <v>341</v>
      </c>
      <c r="B342" s="15" t="s">
        <v>895</v>
      </c>
      <c r="C342" s="15" t="s">
        <v>42</v>
      </c>
      <c r="D342" s="15" t="s">
        <v>896</v>
      </c>
      <c r="E342" s="15" t="s">
        <v>13</v>
      </c>
      <c r="F342" s="15" t="s">
        <v>897</v>
      </c>
      <c r="G342" s="16" t="n">
        <v>4.9</v>
      </c>
      <c r="H342" s="17" t="n">
        <v>104</v>
      </c>
      <c r="I342" s="14" t="s">
        <v>61</v>
      </c>
      <c r="J342" s="14" t="s">
        <v>46</v>
      </c>
    </row>
    <row r="343" customFormat="false" ht="15" hidden="false" customHeight="false" outlineLevel="0" collapsed="false">
      <c r="A343" s="14" t="n">
        <v>342</v>
      </c>
      <c r="B343" s="15" t="s">
        <v>898</v>
      </c>
      <c r="C343" s="15" t="s">
        <v>42</v>
      </c>
      <c r="D343" s="15" t="s">
        <v>896</v>
      </c>
      <c r="E343" s="15" t="s">
        <v>13</v>
      </c>
      <c r="F343" s="15" t="s">
        <v>899</v>
      </c>
      <c r="G343" s="16" t="n">
        <v>4.2</v>
      </c>
      <c r="H343" s="17" t="n">
        <v>426</v>
      </c>
      <c r="I343" s="14" t="s">
        <v>55</v>
      </c>
      <c r="J343" s="14" t="s">
        <v>56</v>
      </c>
    </row>
    <row r="344" customFormat="false" ht="15" hidden="false" customHeight="false" outlineLevel="0" collapsed="false">
      <c r="A344" s="14" t="n">
        <v>343</v>
      </c>
      <c r="B344" s="15" t="s">
        <v>900</v>
      </c>
      <c r="C344" s="15" t="s">
        <v>58</v>
      </c>
      <c r="D344" s="15" t="s">
        <v>896</v>
      </c>
      <c r="E344" s="15" t="s">
        <v>13</v>
      </c>
      <c r="F344" s="15" t="s">
        <v>901</v>
      </c>
      <c r="G344" s="16" t="n">
        <v>4.6</v>
      </c>
      <c r="H344" s="17" t="n">
        <v>2249</v>
      </c>
      <c r="I344" s="14" t="s">
        <v>55</v>
      </c>
      <c r="J344" s="14" t="s">
        <v>46</v>
      </c>
    </row>
    <row r="345" customFormat="false" ht="15" hidden="false" customHeight="false" outlineLevel="0" collapsed="false">
      <c r="A345" s="14" t="n">
        <v>344</v>
      </c>
      <c r="B345" s="15" t="s">
        <v>902</v>
      </c>
      <c r="C345" s="15" t="s">
        <v>58</v>
      </c>
      <c r="D345" s="15" t="s">
        <v>903</v>
      </c>
      <c r="E345" s="15" t="s">
        <v>13</v>
      </c>
      <c r="F345" s="15" t="s">
        <v>904</v>
      </c>
      <c r="G345" s="16" t="n">
        <v>4.7</v>
      </c>
      <c r="H345" s="17" t="n">
        <v>4237</v>
      </c>
      <c r="I345" s="14" t="s">
        <v>61</v>
      </c>
      <c r="J345" s="14" t="s">
        <v>46</v>
      </c>
    </row>
    <row r="346" customFormat="false" ht="15" hidden="false" customHeight="false" outlineLevel="0" collapsed="false">
      <c r="A346" s="14" t="n">
        <v>345</v>
      </c>
      <c r="B346" s="15" t="s">
        <v>905</v>
      </c>
      <c r="C346" s="15" t="s">
        <v>42</v>
      </c>
      <c r="D346" s="15" t="s">
        <v>906</v>
      </c>
      <c r="E346" s="15" t="s">
        <v>13</v>
      </c>
      <c r="F346" s="15" t="s">
        <v>907</v>
      </c>
      <c r="G346" s="16" t="n">
        <v>4.5</v>
      </c>
      <c r="H346" s="17" t="n">
        <v>431</v>
      </c>
      <c r="I346" s="14" t="s">
        <v>55</v>
      </c>
      <c r="J346" s="14" t="s">
        <v>56</v>
      </c>
    </row>
    <row r="347" customFormat="false" ht="15" hidden="false" customHeight="false" outlineLevel="0" collapsed="false">
      <c r="A347" s="14" t="n">
        <v>346</v>
      </c>
      <c r="B347" s="15" t="s">
        <v>908</v>
      </c>
      <c r="C347" s="15" t="s">
        <v>58</v>
      </c>
      <c r="D347" s="15" t="s">
        <v>909</v>
      </c>
      <c r="E347" s="15" t="s">
        <v>13</v>
      </c>
      <c r="F347" s="15" t="s">
        <v>910</v>
      </c>
      <c r="G347" s="16" t="n">
        <v>4.1</v>
      </c>
      <c r="H347" s="17" t="n">
        <v>5332</v>
      </c>
      <c r="I347" s="14" t="s">
        <v>55</v>
      </c>
      <c r="J347" s="14" t="s">
        <v>46</v>
      </c>
    </row>
    <row r="348" customFormat="false" ht="15" hidden="false" customHeight="false" outlineLevel="0" collapsed="false">
      <c r="A348" s="14" t="n">
        <v>347</v>
      </c>
      <c r="B348" s="15" t="s">
        <v>911</v>
      </c>
      <c r="C348" s="15" t="s">
        <v>52</v>
      </c>
      <c r="D348" s="15" t="s">
        <v>912</v>
      </c>
      <c r="E348" s="15" t="s">
        <v>13</v>
      </c>
      <c r="F348" s="15" t="s">
        <v>913</v>
      </c>
      <c r="G348" s="16" t="n">
        <v>3.7</v>
      </c>
      <c r="H348" s="17" t="n">
        <v>41</v>
      </c>
      <c r="I348" s="14" t="s">
        <v>55</v>
      </c>
      <c r="J348" s="14" t="s">
        <v>56</v>
      </c>
    </row>
    <row r="349" customFormat="false" ht="15" hidden="false" customHeight="false" outlineLevel="0" collapsed="false">
      <c r="A349" s="14" t="n">
        <v>348</v>
      </c>
      <c r="B349" s="15" t="s">
        <v>914</v>
      </c>
      <c r="C349" s="15" t="s">
        <v>52</v>
      </c>
      <c r="D349" s="15" t="s">
        <v>912</v>
      </c>
      <c r="E349" s="15" t="s">
        <v>13</v>
      </c>
      <c r="F349" s="15" t="s">
        <v>915</v>
      </c>
      <c r="G349" s="16" t="n">
        <v>3.4</v>
      </c>
      <c r="H349" s="17" t="n">
        <v>22</v>
      </c>
      <c r="I349" s="14" t="s">
        <v>55</v>
      </c>
      <c r="J349" s="14" t="s">
        <v>56</v>
      </c>
    </row>
    <row r="350" customFormat="false" ht="15" hidden="false" customHeight="false" outlineLevel="0" collapsed="false">
      <c r="A350" s="14" t="n">
        <v>349</v>
      </c>
      <c r="B350" s="15" t="s">
        <v>916</v>
      </c>
      <c r="C350" s="15" t="s">
        <v>52</v>
      </c>
      <c r="D350" s="15" t="s">
        <v>912</v>
      </c>
      <c r="E350" s="15" t="s">
        <v>13</v>
      </c>
      <c r="F350" s="15" t="s">
        <v>917</v>
      </c>
      <c r="G350" s="16" t="n">
        <v>3.6</v>
      </c>
      <c r="H350" s="17" t="n">
        <v>354</v>
      </c>
      <c r="I350" s="14" t="s">
        <v>55</v>
      </c>
      <c r="J350" s="14" t="s">
        <v>56</v>
      </c>
    </row>
    <row r="351" customFormat="false" ht="15" hidden="false" customHeight="false" outlineLevel="0" collapsed="false">
      <c r="A351" s="14" t="n">
        <v>350</v>
      </c>
      <c r="B351" s="15" t="s">
        <v>918</v>
      </c>
      <c r="C351" s="15" t="s">
        <v>52</v>
      </c>
      <c r="D351" s="15" t="s">
        <v>912</v>
      </c>
      <c r="E351" s="15" t="s">
        <v>13</v>
      </c>
      <c r="F351" s="15" t="s">
        <v>919</v>
      </c>
      <c r="G351" s="16" t="n">
        <v>3</v>
      </c>
      <c r="H351" s="17" t="n">
        <v>102</v>
      </c>
      <c r="I351" s="14" t="s">
        <v>55</v>
      </c>
      <c r="J351" s="14" t="s">
        <v>56</v>
      </c>
    </row>
    <row r="352" customFormat="false" ht="15" hidden="false" customHeight="false" outlineLevel="0" collapsed="false">
      <c r="A352" s="14" t="n">
        <v>351</v>
      </c>
      <c r="B352" s="15" t="s">
        <v>920</v>
      </c>
      <c r="C352" s="15" t="s">
        <v>58</v>
      </c>
      <c r="D352" s="15" t="s">
        <v>912</v>
      </c>
      <c r="E352" s="15" t="s">
        <v>13</v>
      </c>
      <c r="F352" s="15" t="s">
        <v>921</v>
      </c>
      <c r="G352" s="16" t="n">
        <v>3.6</v>
      </c>
      <c r="H352" s="17" t="n">
        <v>127</v>
      </c>
      <c r="I352" s="14" t="s">
        <v>55</v>
      </c>
      <c r="J352" s="14" t="s">
        <v>56</v>
      </c>
    </row>
    <row r="353" customFormat="false" ht="15" hidden="false" customHeight="false" outlineLevel="0" collapsed="false">
      <c r="A353" s="14" t="n">
        <v>352</v>
      </c>
      <c r="B353" s="15" t="s">
        <v>922</v>
      </c>
      <c r="C353" s="15" t="s">
        <v>52</v>
      </c>
      <c r="D353" s="15" t="s">
        <v>912</v>
      </c>
      <c r="E353" s="15" t="s">
        <v>13</v>
      </c>
      <c r="F353" s="15" t="s">
        <v>923</v>
      </c>
      <c r="G353" s="16" t="n">
        <v>3.7</v>
      </c>
      <c r="H353" s="17" t="n">
        <v>180</v>
      </c>
      <c r="I353" s="14" t="s">
        <v>55</v>
      </c>
      <c r="J353" s="14" t="s">
        <v>56</v>
      </c>
    </row>
    <row r="354" customFormat="false" ht="15" hidden="false" customHeight="false" outlineLevel="0" collapsed="false">
      <c r="A354" s="14" t="n">
        <v>353</v>
      </c>
      <c r="B354" s="15" t="s">
        <v>924</v>
      </c>
      <c r="C354" s="15" t="s">
        <v>42</v>
      </c>
      <c r="D354" s="15" t="s">
        <v>912</v>
      </c>
      <c r="E354" s="15" t="s">
        <v>13</v>
      </c>
      <c r="F354" s="15" t="s">
        <v>925</v>
      </c>
      <c r="G354" s="16" t="n">
        <v>4</v>
      </c>
      <c r="H354" s="17" t="n">
        <v>166</v>
      </c>
      <c r="I354" s="14" t="s">
        <v>55</v>
      </c>
      <c r="J354" s="14" t="s">
        <v>56</v>
      </c>
    </row>
    <row r="355" customFormat="false" ht="15" hidden="false" customHeight="false" outlineLevel="0" collapsed="false">
      <c r="A355" s="14" t="n">
        <v>354</v>
      </c>
      <c r="B355" s="15" t="s">
        <v>926</v>
      </c>
      <c r="C355" s="15" t="s">
        <v>42</v>
      </c>
      <c r="D355" s="15" t="s">
        <v>912</v>
      </c>
      <c r="E355" s="15" t="s">
        <v>13</v>
      </c>
      <c r="F355" s="15" t="s">
        <v>927</v>
      </c>
      <c r="G355" s="16" t="n">
        <v>4.8</v>
      </c>
      <c r="H355" s="17" t="n">
        <v>413</v>
      </c>
      <c r="I355" s="14" t="s">
        <v>55</v>
      </c>
      <c r="J355" s="14" t="s">
        <v>46</v>
      </c>
    </row>
    <row r="356" customFormat="false" ht="15" hidden="false" customHeight="false" outlineLevel="0" collapsed="false">
      <c r="A356" s="14" t="n">
        <v>355</v>
      </c>
      <c r="B356" s="15" t="s">
        <v>928</v>
      </c>
      <c r="C356" s="15" t="s">
        <v>52</v>
      </c>
      <c r="D356" s="15" t="s">
        <v>912</v>
      </c>
      <c r="E356" s="15" t="s">
        <v>13</v>
      </c>
      <c r="F356" s="15" t="s">
        <v>929</v>
      </c>
      <c r="G356" s="16" t="n">
        <v>4.7</v>
      </c>
      <c r="H356" s="17" t="n">
        <v>33</v>
      </c>
      <c r="I356" s="14" t="s">
        <v>55</v>
      </c>
      <c r="J356" s="14" t="s">
        <v>46</v>
      </c>
    </row>
    <row r="357" customFormat="false" ht="15" hidden="false" customHeight="false" outlineLevel="0" collapsed="false">
      <c r="A357" s="14" t="n">
        <v>356</v>
      </c>
      <c r="B357" s="15" t="s">
        <v>930</v>
      </c>
      <c r="C357" s="15" t="s">
        <v>52</v>
      </c>
      <c r="D357" s="15" t="s">
        <v>931</v>
      </c>
      <c r="E357" s="15" t="s">
        <v>13</v>
      </c>
      <c r="F357" s="15" t="s">
        <v>932</v>
      </c>
      <c r="G357" s="16" t="n">
        <v>4.9</v>
      </c>
      <c r="H357" s="17" t="n">
        <v>112</v>
      </c>
      <c r="I357" s="14" t="s">
        <v>55</v>
      </c>
      <c r="J357" s="14" t="s">
        <v>46</v>
      </c>
    </row>
    <row r="358" customFormat="false" ht="15" hidden="false" customHeight="false" outlineLevel="0" collapsed="false">
      <c r="A358" s="14" t="n">
        <v>357</v>
      </c>
      <c r="B358" s="15" t="s">
        <v>933</v>
      </c>
      <c r="C358" s="15" t="s">
        <v>52</v>
      </c>
      <c r="D358" s="15" t="s">
        <v>934</v>
      </c>
      <c r="E358" s="15" t="s">
        <v>13</v>
      </c>
      <c r="F358" s="15" t="s">
        <v>935</v>
      </c>
      <c r="G358" s="16" t="n">
        <v>4.7</v>
      </c>
      <c r="H358" s="17" t="n">
        <v>18</v>
      </c>
      <c r="I358" s="14" t="s">
        <v>55</v>
      </c>
      <c r="J358" s="14" t="s">
        <v>46</v>
      </c>
    </row>
    <row r="359" customFormat="false" ht="15" hidden="false" customHeight="false" outlineLevel="0" collapsed="false">
      <c r="A359" s="14" t="n">
        <v>358</v>
      </c>
      <c r="B359" s="15" t="s">
        <v>936</v>
      </c>
      <c r="C359" s="15" t="s">
        <v>58</v>
      </c>
      <c r="D359" s="15" t="s">
        <v>937</v>
      </c>
      <c r="E359" s="15" t="s">
        <v>13</v>
      </c>
      <c r="F359" s="15" t="s">
        <v>938</v>
      </c>
      <c r="G359" s="16" t="n">
        <v>4.2</v>
      </c>
      <c r="H359" s="17" t="n">
        <v>2202</v>
      </c>
      <c r="I359" s="14" t="s">
        <v>55</v>
      </c>
      <c r="J359" s="14" t="s">
        <v>46</v>
      </c>
    </row>
    <row r="360" customFormat="false" ht="15" hidden="false" customHeight="false" outlineLevel="0" collapsed="false">
      <c r="A360" s="14" t="n">
        <v>359</v>
      </c>
      <c r="B360" s="15" t="s">
        <v>939</v>
      </c>
      <c r="C360" s="15" t="s">
        <v>58</v>
      </c>
      <c r="D360" s="15" t="s">
        <v>940</v>
      </c>
      <c r="E360" s="15" t="s">
        <v>13</v>
      </c>
      <c r="F360" s="15" t="s">
        <v>941</v>
      </c>
      <c r="G360" s="16" t="n">
        <v>4.7</v>
      </c>
      <c r="H360" s="17" t="n">
        <v>2172</v>
      </c>
      <c r="I360" s="14" t="s">
        <v>61</v>
      </c>
      <c r="J360" s="14" t="s">
        <v>46</v>
      </c>
    </row>
    <row r="361" customFormat="false" ht="15" hidden="false" customHeight="false" outlineLevel="0" collapsed="false">
      <c r="A361" s="14" t="n">
        <v>360</v>
      </c>
      <c r="B361" s="15" t="s">
        <v>942</v>
      </c>
      <c r="C361" s="15" t="s">
        <v>42</v>
      </c>
      <c r="D361" s="15" t="s">
        <v>943</v>
      </c>
      <c r="E361" s="15" t="s">
        <v>13</v>
      </c>
      <c r="F361" s="15" t="s">
        <v>944</v>
      </c>
      <c r="G361" s="16" t="n">
        <v>4.8</v>
      </c>
      <c r="H361" s="17" t="n">
        <v>2181</v>
      </c>
      <c r="I361" s="14" t="s">
        <v>61</v>
      </c>
      <c r="J361" s="14" t="s">
        <v>46</v>
      </c>
    </row>
    <row r="362" customFormat="false" ht="15" hidden="false" customHeight="false" outlineLevel="0" collapsed="false">
      <c r="A362" s="14" t="n">
        <v>361</v>
      </c>
      <c r="B362" s="15" t="s">
        <v>945</v>
      </c>
      <c r="C362" s="15" t="s">
        <v>58</v>
      </c>
      <c r="D362" s="15" t="s">
        <v>946</v>
      </c>
      <c r="E362" s="15" t="s">
        <v>13</v>
      </c>
      <c r="F362" s="15" t="s">
        <v>947</v>
      </c>
      <c r="G362" s="16" t="n">
        <v>4.5</v>
      </c>
      <c r="H362" s="17" t="n">
        <v>1532</v>
      </c>
      <c r="I362" s="14" t="s">
        <v>55</v>
      </c>
      <c r="J362" s="14" t="s">
        <v>46</v>
      </c>
    </row>
    <row r="363" customFormat="false" ht="15" hidden="false" customHeight="false" outlineLevel="0" collapsed="false">
      <c r="A363" s="14" t="n">
        <v>362</v>
      </c>
      <c r="B363" s="15" t="s">
        <v>948</v>
      </c>
      <c r="C363" s="15" t="s">
        <v>58</v>
      </c>
      <c r="D363" s="15" t="s">
        <v>946</v>
      </c>
      <c r="E363" s="15" t="s">
        <v>13</v>
      </c>
      <c r="F363" s="15" t="s">
        <v>949</v>
      </c>
      <c r="G363" s="16" t="n">
        <v>4.5</v>
      </c>
      <c r="H363" s="17" t="n">
        <v>178</v>
      </c>
      <c r="I363" s="14" t="s">
        <v>55</v>
      </c>
      <c r="J363" s="14" t="s">
        <v>46</v>
      </c>
    </row>
    <row r="364" customFormat="false" ht="15" hidden="false" customHeight="false" outlineLevel="0" collapsed="false">
      <c r="A364" s="14" t="n">
        <v>363</v>
      </c>
      <c r="B364" s="15" t="s">
        <v>950</v>
      </c>
      <c r="C364" s="15" t="s">
        <v>58</v>
      </c>
      <c r="D364" s="15" t="s">
        <v>946</v>
      </c>
      <c r="E364" s="15" t="s">
        <v>13</v>
      </c>
      <c r="F364" s="15" t="s">
        <v>951</v>
      </c>
      <c r="G364" s="16" t="n">
        <v>4.8</v>
      </c>
      <c r="H364" s="17" t="n">
        <v>12402</v>
      </c>
      <c r="I364" s="14" t="s">
        <v>61</v>
      </c>
      <c r="J364" s="14" t="s">
        <v>46</v>
      </c>
    </row>
    <row r="365" customFormat="false" ht="15" hidden="false" customHeight="false" outlineLevel="0" collapsed="false">
      <c r="A365" s="14" t="n">
        <v>364</v>
      </c>
      <c r="B365" s="15" t="s">
        <v>952</v>
      </c>
      <c r="C365" s="15" t="s">
        <v>42</v>
      </c>
      <c r="D365" s="15" t="s">
        <v>946</v>
      </c>
      <c r="E365" s="15" t="s">
        <v>13</v>
      </c>
      <c r="F365" s="15" t="s">
        <v>953</v>
      </c>
      <c r="G365" s="16" t="n">
        <v>4.4</v>
      </c>
      <c r="H365" s="17" t="n">
        <v>350</v>
      </c>
      <c r="I365" s="14" t="s">
        <v>55</v>
      </c>
      <c r="J365" s="14" t="s">
        <v>56</v>
      </c>
    </row>
    <row r="366" customFormat="false" ht="15" hidden="false" customHeight="false" outlineLevel="0" collapsed="false">
      <c r="A366" s="14" t="n">
        <v>365</v>
      </c>
      <c r="B366" s="15" t="s">
        <v>954</v>
      </c>
      <c r="C366" s="15" t="s">
        <v>58</v>
      </c>
      <c r="D366" s="15" t="s">
        <v>946</v>
      </c>
      <c r="E366" s="15" t="s">
        <v>13</v>
      </c>
      <c r="F366" s="15" t="s">
        <v>955</v>
      </c>
      <c r="G366" s="16" t="n">
        <v>4.6</v>
      </c>
      <c r="H366" s="17" t="n">
        <v>997</v>
      </c>
      <c r="I366" s="14" t="s">
        <v>55</v>
      </c>
      <c r="J366" s="14" t="s">
        <v>46</v>
      </c>
    </row>
    <row r="367" customFormat="false" ht="15" hidden="false" customHeight="false" outlineLevel="0" collapsed="false">
      <c r="A367" s="14" t="n">
        <v>366</v>
      </c>
      <c r="B367" s="15" t="s">
        <v>956</v>
      </c>
      <c r="C367" s="15" t="s">
        <v>58</v>
      </c>
      <c r="D367" s="15" t="s">
        <v>946</v>
      </c>
      <c r="E367" s="15" t="s">
        <v>13</v>
      </c>
      <c r="F367" s="15" t="s">
        <v>957</v>
      </c>
      <c r="G367" s="16" t="n">
        <v>4.8</v>
      </c>
      <c r="H367" s="17" t="n">
        <v>130</v>
      </c>
      <c r="I367" s="14" t="s">
        <v>55</v>
      </c>
      <c r="J367" s="14" t="s">
        <v>46</v>
      </c>
    </row>
    <row r="368" customFormat="false" ht="15" hidden="false" customHeight="false" outlineLevel="0" collapsed="false">
      <c r="A368" s="14" t="n">
        <v>367</v>
      </c>
      <c r="B368" s="15" t="s">
        <v>958</v>
      </c>
      <c r="C368" s="15" t="s">
        <v>42</v>
      </c>
      <c r="D368" s="15" t="s">
        <v>959</v>
      </c>
      <c r="E368" s="15" t="s">
        <v>13</v>
      </c>
      <c r="F368" s="15" t="s">
        <v>960</v>
      </c>
      <c r="G368" s="16" t="n">
        <v>4.5</v>
      </c>
      <c r="H368" s="17" t="n">
        <v>179</v>
      </c>
      <c r="I368" s="14" t="s">
        <v>61</v>
      </c>
      <c r="J368" s="14" t="s">
        <v>46</v>
      </c>
    </row>
    <row r="369" customFormat="false" ht="15" hidden="false" customHeight="false" outlineLevel="0" collapsed="false">
      <c r="A369" s="14" t="n">
        <v>368</v>
      </c>
      <c r="B369" s="15" t="s">
        <v>961</v>
      </c>
      <c r="C369" s="15" t="s">
        <v>58</v>
      </c>
      <c r="D369" s="15" t="s">
        <v>962</v>
      </c>
      <c r="E369" s="15" t="s">
        <v>13</v>
      </c>
      <c r="F369" s="15" t="s">
        <v>963</v>
      </c>
      <c r="G369" s="16" t="n">
        <v>3</v>
      </c>
      <c r="H369" s="17" t="n">
        <v>117</v>
      </c>
      <c r="I369" s="14" t="s">
        <v>55</v>
      </c>
      <c r="J369" s="14" t="s">
        <v>56</v>
      </c>
    </row>
    <row r="370" customFormat="false" ht="15" hidden="false" customHeight="false" outlineLevel="0" collapsed="false">
      <c r="A370" s="14" t="n">
        <v>369</v>
      </c>
      <c r="B370" s="15" t="s">
        <v>964</v>
      </c>
      <c r="C370" s="15" t="s">
        <v>52</v>
      </c>
      <c r="D370" s="15" t="s">
        <v>965</v>
      </c>
      <c r="E370" s="15" t="s">
        <v>13</v>
      </c>
      <c r="F370" s="15" t="s">
        <v>966</v>
      </c>
      <c r="G370" s="16" t="n">
        <v>4</v>
      </c>
      <c r="H370" s="17" t="n">
        <v>94</v>
      </c>
      <c r="I370" s="14" t="s">
        <v>55</v>
      </c>
      <c r="J370" s="14" t="s">
        <v>56</v>
      </c>
    </row>
    <row r="371" customFormat="false" ht="15" hidden="false" customHeight="false" outlineLevel="0" collapsed="false">
      <c r="A371" s="14" t="n">
        <v>370</v>
      </c>
      <c r="B371" s="15" t="s">
        <v>967</v>
      </c>
      <c r="C371" s="15" t="s">
        <v>58</v>
      </c>
      <c r="D371" s="15" t="s">
        <v>968</v>
      </c>
      <c r="E371" s="15" t="s">
        <v>14</v>
      </c>
      <c r="F371" s="15" t="s">
        <v>969</v>
      </c>
      <c r="G371" s="16" t="n">
        <v>4.4</v>
      </c>
      <c r="H371" s="17" t="n">
        <v>3145</v>
      </c>
      <c r="I371" s="14" t="s">
        <v>61</v>
      </c>
      <c r="J371" s="14" t="s">
        <v>46</v>
      </c>
    </row>
    <row r="372" customFormat="false" ht="15" hidden="false" customHeight="false" outlineLevel="0" collapsed="false">
      <c r="A372" s="14" t="n">
        <v>371</v>
      </c>
      <c r="B372" s="15" t="s">
        <v>970</v>
      </c>
      <c r="C372" s="15" t="s">
        <v>58</v>
      </c>
      <c r="D372" s="15" t="s">
        <v>971</v>
      </c>
      <c r="E372" s="15" t="s">
        <v>14</v>
      </c>
      <c r="F372" s="15" t="s">
        <v>972</v>
      </c>
      <c r="G372" s="16" t="n">
        <v>4.2</v>
      </c>
      <c r="H372" s="17" t="n">
        <v>5219</v>
      </c>
      <c r="I372" s="14" t="s">
        <v>61</v>
      </c>
      <c r="J372" s="14" t="s">
        <v>46</v>
      </c>
    </row>
    <row r="373" customFormat="false" ht="15" hidden="false" customHeight="false" outlineLevel="0" collapsed="false">
      <c r="A373" s="14" t="n">
        <v>372</v>
      </c>
      <c r="B373" s="15" t="s">
        <v>973</v>
      </c>
      <c r="C373" s="15" t="s">
        <v>58</v>
      </c>
      <c r="D373" s="15" t="s">
        <v>974</v>
      </c>
      <c r="E373" s="15" t="s">
        <v>14</v>
      </c>
      <c r="F373" s="15" t="s">
        <v>975</v>
      </c>
      <c r="G373" s="16" t="n">
        <v>4.7</v>
      </c>
      <c r="H373" s="17" t="n">
        <v>1361</v>
      </c>
      <c r="I373" s="14" t="s">
        <v>61</v>
      </c>
      <c r="J373" s="14" t="s">
        <v>56</v>
      </c>
    </row>
    <row r="374" customFormat="false" ht="15" hidden="false" customHeight="false" outlineLevel="0" collapsed="false">
      <c r="A374" s="14" t="n">
        <v>373</v>
      </c>
      <c r="B374" s="15" t="s">
        <v>976</v>
      </c>
      <c r="C374" s="15" t="s">
        <v>42</v>
      </c>
      <c r="D374" s="15" t="s">
        <v>977</v>
      </c>
      <c r="E374" s="15" t="s">
        <v>14</v>
      </c>
      <c r="F374" s="15" t="s">
        <v>978</v>
      </c>
      <c r="G374" s="16" t="n">
        <v>4.5</v>
      </c>
      <c r="H374" s="17" t="n">
        <v>2828</v>
      </c>
      <c r="I374" s="14" t="s">
        <v>61</v>
      </c>
      <c r="J374" s="14" t="s">
        <v>46</v>
      </c>
    </row>
    <row r="375" customFormat="false" ht="15" hidden="false" customHeight="false" outlineLevel="0" collapsed="false">
      <c r="A375" s="14" t="n">
        <v>374</v>
      </c>
      <c r="B375" s="15" t="s">
        <v>979</v>
      </c>
      <c r="C375" s="15" t="s">
        <v>42</v>
      </c>
      <c r="D375" s="15" t="s">
        <v>980</v>
      </c>
      <c r="E375" s="15" t="s">
        <v>14</v>
      </c>
      <c r="F375" s="15" t="s">
        <v>981</v>
      </c>
      <c r="G375" s="16" t="n">
        <v>4.8</v>
      </c>
      <c r="H375" s="17" t="n">
        <v>8065</v>
      </c>
      <c r="I375" s="14" t="s">
        <v>61</v>
      </c>
      <c r="J375" s="14" t="s">
        <v>46</v>
      </c>
    </row>
    <row r="376" customFormat="false" ht="15" hidden="false" customHeight="false" outlineLevel="0" collapsed="false">
      <c r="A376" s="14" t="n">
        <v>375</v>
      </c>
      <c r="B376" s="15" t="s">
        <v>982</v>
      </c>
      <c r="C376" s="15" t="s">
        <v>58</v>
      </c>
      <c r="D376" s="15" t="s">
        <v>980</v>
      </c>
      <c r="E376" s="15" t="s">
        <v>14</v>
      </c>
      <c r="F376" s="15" t="s">
        <v>983</v>
      </c>
      <c r="G376" s="16" t="n">
        <v>4.1</v>
      </c>
      <c r="H376" s="17" t="n">
        <v>6864</v>
      </c>
      <c r="I376" s="14" t="s">
        <v>61</v>
      </c>
      <c r="J376" s="14" t="s">
        <v>46</v>
      </c>
    </row>
    <row r="377" customFormat="false" ht="15" hidden="false" customHeight="false" outlineLevel="0" collapsed="false">
      <c r="A377" s="14" t="n">
        <v>376</v>
      </c>
      <c r="B377" s="15" t="s">
        <v>984</v>
      </c>
      <c r="C377" s="15" t="s">
        <v>58</v>
      </c>
      <c r="D377" s="15" t="s">
        <v>985</v>
      </c>
      <c r="E377" s="15" t="s">
        <v>14</v>
      </c>
      <c r="F377" s="15" t="s">
        <v>986</v>
      </c>
      <c r="G377" s="16" t="n">
        <v>4.1</v>
      </c>
      <c r="H377" s="17" t="n">
        <v>3031</v>
      </c>
      <c r="I377" s="14" t="s">
        <v>61</v>
      </c>
      <c r="J377" s="14" t="s">
        <v>46</v>
      </c>
    </row>
    <row r="378" customFormat="false" ht="15" hidden="false" customHeight="false" outlineLevel="0" collapsed="false">
      <c r="A378" s="14" t="n">
        <v>377</v>
      </c>
      <c r="B378" s="15" t="s">
        <v>987</v>
      </c>
      <c r="C378" s="15" t="s">
        <v>42</v>
      </c>
      <c r="D378" s="15" t="s">
        <v>988</v>
      </c>
      <c r="E378" s="15" t="s">
        <v>14</v>
      </c>
      <c r="F378" s="15" t="s">
        <v>989</v>
      </c>
      <c r="G378" s="16" t="n">
        <v>4.7</v>
      </c>
      <c r="H378" s="17" t="n">
        <v>1920</v>
      </c>
      <c r="I378" s="14" t="s">
        <v>61</v>
      </c>
      <c r="J378" s="14" t="s">
        <v>46</v>
      </c>
    </row>
    <row r="379" customFormat="false" ht="15" hidden="false" customHeight="false" outlineLevel="0" collapsed="false">
      <c r="A379" s="14" t="n">
        <v>378</v>
      </c>
      <c r="B379" s="15" t="s">
        <v>990</v>
      </c>
      <c r="C379" s="15" t="s">
        <v>42</v>
      </c>
      <c r="D379" s="15" t="s">
        <v>991</v>
      </c>
      <c r="E379" s="15" t="s">
        <v>14</v>
      </c>
      <c r="F379" s="15" t="s">
        <v>992</v>
      </c>
      <c r="G379" s="16" t="n">
        <v>4.7</v>
      </c>
      <c r="H379" s="17" t="n">
        <v>3031</v>
      </c>
      <c r="I379" s="14" t="s">
        <v>61</v>
      </c>
      <c r="J379" s="14" t="s">
        <v>56</v>
      </c>
    </row>
    <row r="380" customFormat="false" ht="15" hidden="false" customHeight="false" outlineLevel="0" collapsed="false">
      <c r="A380" s="14" t="n">
        <v>379</v>
      </c>
      <c r="B380" s="15" t="s">
        <v>993</v>
      </c>
      <c r="C380" s="15" t="s">
        <v>42</v>
      </c>
      <c r="D380" s="15" t="s">
        <v>991</v>
      </c>
      <c r="E380" s="15" t="s">
        <v>14</v>
      </c>
      <c r="F380" s="15" t="s">
        <v>994</v>
      </c>
      <c r="G380" s="16" t="n">
        <v>4.1</v>
      </c>
      <c r="H380" s="17" t="n">
        <v>770</v>
      </c>
      <c r="I380" s="14" t="s">
        <v>61</v>
      </c>
      <c r="J380" s="14" t="s">
        <v>56</v>
      </c>
    </row>
    <row r="381" customFormat="false" ht="15" hidden="false" customHeight="false" outlineLevel="0" collapsed="false">
      <c r="A381" s="14" t="n">
        <v>380</v>
      </c>
      <c r="B381" s="15" t="s">
        <v>995</v>
      </c>
      <c r="C381" s="15" t="s">
        <v>52</v>
      </c>
      <c r="D381" s="15" t="s">
        <v>991</v>
      </c>
      <c r="E381" s="15" t="s">
        <v>14</v>
      </c>
      <c r="F381" s="15" t="s">
        <v>996</v>
      </c>
      <c r="G381" s="16" t="n">
        <v>4.1</v>
      </c>
      <c r="H381" s="17" t="n">
        <v>156</v>
      </c>
      <c r="I381" s="14" t="s">
        <v>55</v>
      </c>
      <c r="J381" s="14" t="s">
        <v>46</v>
      </c>
    </row>
    <row r="382" customFormat="false" ht="15" hidden="false" customHeight="false" outlineLevel="0" collapsed="false">
      <c r="A382" s="14" t="n">
        <v>381</v>
      </c>
      <c r="B382" s="15" t="s">
        <v>997</v>
      </c>
      <c r="C382" s="15" t="s">
        <v>52</v>
      </c>
      <c r="D382" s="15" t="s">
        <v>991</v>
      </c>
      <c r="E382" s="15" t="s">
        <v>14</v>
      </c>
      <c r="F382" s="15" t="s">
        <v>998</v>
      </c>
      <c r="G382" s="16" t="n">
        <v>4.2</v>
      </c>
      <c r="H382" s="17" t="n">
        <v>25</v>
      </c>
      <c r="I382" s="14" t="s">
        <v>55</v>
      </c>
      <c r="J382" s="14" t="s">
        <v>56</v>
      </c>
    </row>
    <row r="383" customFormat="false" ht="15" hidden="false" customHeight="false" outlineLevel="0" collapsed="false">
      <c r="A383" s="14" t="n">
        <v>382</v>
      </c>
      <c r="B383" s="15" t="s">
        <v>999</v>
      </c>
      <c r="C383" s="15" t="s">
        <v>52</v>
      </c>
      <c r="D383" s="15" t="s">
        <v>991</v>
      </c>
      <c r="E383" s="15" t="s">
        <v>14</v>
      </c>
      <c r="F383" s="15" t="s">
        <v>1000</v>
      </c>
      <c r="G383" s="16" t="n">
        <v>4</v>
      </c>
      <c r="H383" s="17" t="n">
        <v>101</v>
      </c>
      <c r="I383" s="14" t="s">
        <v>55</v>
      </c>
      <c r="J383" s="14" t="s">
        <v>56</v>
      </c>
    </row>
    <row r="384" customFormat="false" ht="15" hidden="false" customHeight="false" outlineLevel="0" collapsed="false">
      <c r="A384" s="14" t="n">
        <v>383</v>
      </c>
      <c r="B384" s="15" t="s">
        <v>1001</v>
      </c>
      <c r="C384" s="15" t="s">
        <v>52</v>
      </c>
      <c r="D384" s="15" t="s">
        <v>991</v>
      </c>
      <c r="E384" s="15" t="s">
        <v>14</v>
      </c>
      <c r="F384" s="15" t="s">
        <v>1002</v>
      </c>
      <c r="G384" s="16" t="n">
        <v>2.9</v>
      </c>
      <c r="H384" s="17" t="n">
        <v>9</v>
      </c>
      <c r="I384" s="14" t="s">
        <v>127</v>
      </c>
      <c r="J384" s="14" t="s">
        <v>56</v>
      </c>
    </row>
    <row r="385" customFormat="false" ht="15" hidden="false" customHeight="false" outlineLevel="0" collapsed="false">
      <c r="A385" s="14" t="n">
        <v>384</v>
      </c>
      <c r="B385" s="15" t="s">
        <v>1003</v>
      </c>
      <c r="C385" s="15" t="s">
        <v>52</v>
      </c>
      <c r="D385" s="15" t="s">
        <v>991</v>
      </c>
      <c r="E385" s="15" t="s">
        <v>14</v>
      </c>
      <c r="F385" s="15" t="s">
        <v>1004</v>
      </c>
      <c r="G385" s="16" t="n">
        <v>4.8</v>
      </c>
      <c r="H385" s="17" t="n">
        <v>121</v>
      </c>
      <c r="I385" s="14" t="s">
        <v>55</v>
      </c>
      <c r="J385" s="14" t="s">
        <v>56</v>
      </c>
    </row>
    <row r="386" customFormat="false" ht="15" hidden="false" customHeight="false" outlineLevel="0" collapsed="false">
      <c r="A386" s="14" t="n">
        <v>385</v>
      </c>
      <c r="B386" s="15" t="s">
        <v>1005</v>
      </c>
      <c r="C386" s="15" t="s">
        <v>52</v>
      </c>
      <c r="D386" s="15" t="s">
        <v>991</v>
      </c>
      <c r="E386" s="15" t="s">
        <v>14</v>
      </c>
      <c r="F386" s="15" t="s">
        <v>1006</v>
      </c>
      <c r="G386" s="16" t="n">
        <v>4.1</v>
      </c>
      <c r="H386" s="17" t="n">
        <v>26</v>
      </c>
      <c r="I386" s="14" t="s">
        <v>55</v>
      </c>
      <c r="J386" s="14" t="s">
        <v>56</v>
      </c>
    </row>
    <row r="387" customFormat="false" ht="15" hidden="false" customHeight="false" outlineLevel="0" collapsed="false">
      <c r="A387" s="14" t="n">
        <v>386</v>
      </c>
      <c r="B387" s="15" t="s">
        <v>1007</v>
      </c>
      <c r="C387" s="15" t="s">
        <v>42</v>
      </c>
      <c r="D387" s="15" t="s">
        <v>1008</v>
      </c>
      <c r="E387" s="15" t="s">
        <v>15</v>
      </c>
      <c r="F387" s="15" t="s">
        <v>1009</v>
      </c>
      <c r="G387" s="16" t="n">
        <v>3.8</v>
      </c>
      <c r="H387" s="17" t="n">
        <v>939</v>
      </c>
      <c r="I387" s="14" t="s">
        <v>55</v>
      </c>
      <c r="J387" s="14" t="s">
        <v>46</v>
      </c>
    </row>
    <row r="388" customFormat="false" ht="15" hidden="false" customHeight="false" outlineLevel="0" collapsed="false">
      <c r="A388" s="14" t="n">
        <v>387</v>
      </c>
      <c r="B388" s="15" t="s">
        <v>1010</v>
      </c>
      <c r="C388" s="15" t="s">
        <v>42</v>
      </c>
      <c r="D388" s="15" t="s">
        <v>1011</v>
      </c>
      <c r="E388" s="15" t="s">
        <v>15</v>
      </c>
      <c r="F388" s="15" t="s">
        <v>1012</v>
      </c>
      <c r="G388" s="16" t="n">
        <v>4.8</v>
      </c>
      <c r="H388" s="17" t="n">
        <v>1004</v>
      </c>
      <c r="I388" s="14" t="s">
        <v>55</v>
      </c>
      <c r="J388" s="14" t="s">
        <v>46</v>
      </c>
    </row>
    <row r="389" customFormat="false" ht="15" hidden="false" customHeight="false" outlineLevel="0" collapsed="false">
      <c r="A389" s="14" t="n">
        <v>388</v>
      </c>
      <c r="B389" s="15" t="s">
        <v>1013</v>
      </c>
      <c r="C389" s="15" t="s">
        <v>42</v>
      </c>
      <c r="D389" s="15" t="s">
        <v>1014</v>
      </c>
      <c r="E389" s="15" t="s">
        <v>15</v>
      </c>
      <c r="F389" s="15" t="s">
        <v>1015</v>
      </c>
      <c r="G389" s="16" t="n">
        <v>4.5</v>
      </c>
      <c r="H389" s="17" t="n">
        <v>531</v>
      </c>
      <c r="I389" s="14" t="s">
        <v>61</v>
      </c>
      <c r="J389" s="14" t="s">
        <v>46</v>
      </c>
    </row>
    <row r="390" customFormat="false" ht="15" hidden="false" customHeight="false" outlineLevel="0" collapsed="false">
      <c r="A390" s="14" t="n">
        <v>389</v>
      </c>
      <c r="B390" s="15" t="s">
        <v>1016</v>
      </c>
      <c r="C390" s="15" t="s">
        <v>42</v>
      </c>
      <c r="D390" s="15" t="s">
        <v>1014</v>
      </c>
      <c r="E390" s="15" t="s">
        <v>15</v>
      </c>
      <c r="F390" s="15" t="s">
        <v>1017</v>
      </c>
      <c r="G390" s="16" t="n">
        <v>3.7</v>
      </c>
      <c r="H390" s="17" t="n">
        <v>307</v>
      </c>
      <c r="I390" s="14" t="s">
        <v>55</v>
      </c>
      <c r="J390" s="14" t="s">
        <v>46</v>
      </c>
    </row>
    <row r="391" customFormat="false" ht="15" hidden="false" customHeight="false" outlineLevel="0" collapsed="false">
      <c r="A391" s="14" t="n">
        <v>390</v>
      </c>
      <c r="B391" s="15" t="s">
        <v>1018</v>
      </c>
      <c r="C391" s="15" t="s">
        <v>42</v>
      </c>
      <c r="D391" s="15" t="s">
        <v>1014</v>
      </c>
      <c r="E391" s="15" t="s">
        <v>15</v>
      </c>
      <c r="F391" s="15" t="s">
        <v>1019</v>
      </c>
      <c r="G391" s="16" t="n">
        <v>4.1</v>
      </c>
      <c r="H391" s="17" t="n">
        <v>1000</v>
      </c>
      <c r="I391" s="14" t="s">
        <v>55</v>
      </c>
      <c r="J391" s="14" t="s">
        <v>46</v>
      </c>
    </row>
    <row r="392" customFormat="false" ht="15" hidden="false" customHeight="false" outlineLevel="0" collapsed="false">
      <c r="A392" s="14" t="n">
        <v>391</v>
      </c>
      <c r="B392" s="15" t="s">
        <v>1020</v>
      </c>
      <c r="C392" s="15" t="s">
        <v>42</v>
      </c>
      <c r="D392" s="15" t="s">
        <v>1014</v>
      </c>
      <c r="E392" s="15" t="s">
        <v>15</v>
      </c>
      <c r="F392" s="15" t="s">
        <v>1021</v>
      </c>
      <c r="G392" s="16" t="n">
        <v>4.4</v>
      </c>
      <c r="H392" s="17" t="n">
        <v>1254</v>
      </c>
      <c r="I392" s="14" t="s">
        <v>55</v>
      </c>
      <c r="J392" s="14" t="s">
        <v>46</v>
      </c>
    </row>
    <row r="393" customFormat="false" ht="15" hidden="false" customHeight="false" outlineLevel="0" collapsed="false">
      <c r="A393" s="14" t="n">
        <v>392</v>
      </c>
      <c r="B393" s="15" t="s">
        <v>1022</v>
      </c>
      <c r="C393" s="15" t="s">
        <v>58</v>
      </c>
      <c r="D393" s="15" t="s">
        <v>1014</v>
      </c>
      <c r="E393" s="15" t="s">
        <v>15</v>
      </c>
      <c r="F393" s="15" t="s">
        <v>1023</v>
      </c>
      <c r="G393" s="16" t="n">
        <v>4</v>
      </c>
      <c r="H393" s="17" t="n">
        <v>3126</v>
      </c>
      <c r="I393" s="14" t="s">
        <v>55</v>
      </c>
      <c r="J393" s="14" t="s">
        <v>46</v>
      </c>
    </row>
    <row r="394" customFormat="false" ht="15" hidden="false" customHeight="false" outlineLevel="0" collapsed="false">
      <c r="A394" s="14" t="n">
        <v>393</v>
      </c>
      <c r="B394" s="15" t="s">
        <v>1024</v>
      </c>
      <c r="C394" s="15" t="s">
        <v>58</v>
      </c>
      <c r="D394" s="15" t="s">
        <v>1025</v>
      </c>
      <c r="E394" s="15" t="s">
        <v>15</v>
      </c>
      <c r="F394" s="15" t="s">
        <v>1026</v>
      </c>
      <c r="G394" s="16" t="n">
        <v>4.7</v>
      </c>
      <c r="H394" s="17" t="n">
        <v>3326</v>
      </c>
      <c r="I394" s="14" t="s">
        <v>61</v>
      </c>
      <c r="J394" s="14" t="s">
        <v>46</v>
      </c>
    </row>
    <row r="395" customFormat="false" ht="15" hidden="false" customHeight="false" outlineLevel="0" collapsed="false">
      <c r="A395" s="14" t="n">
        <v>394</v>
      </c>
      <c r="B395" s="15" t="s">
        <v>1027</v>
      </c>
      <c r="C395" s="15" t="s">
        <v>58</v>
      </c>
      <c r="D395" s="15" t="s">
        <v>1028</v>
      </c>
      <c r="E395" s="15" t="s">
        <v>16</v>
      </c>
      <c r="F395" s="15" t="s">
        <v>1029</v>
      </c>
      <c r="G395" s="16" t="n">
        <v>4.8</v>
      </c>
      <c r="H395" s="17" t="n">
        <v>432</v>
      </c>
      <c r="I395" s="14" t="s">
        <v>61</v>
      </c>
      <c r="J395" s="14" t="s">
        <v>46</v>
      </c>
    </row>
    <row r="396" customFormat="false" ht="15" hidden="false" customHeight="false" outlineLevel="0" collapsed="false">
      <c r="A396" s="14" t="n">
        <v>395</v>
      </c>
      <c r="B396" s="15" t="s">
        <v>1030</v>
      </c>
      <c r="C396" s="15" t="s">
        <v>42</v>
      </c>
      <c r="D396" s="15" t="s">
        <v>1031</v>
      </c>
      <c r="E396" s="15" t="s">
        <v>16</v>
      </c>
      <c r="F396" s="15" t="s">
        <v>1032</v>
      </c>
      <c r="G396" s="16" t="n">
        <v>4.7</v>
      </c>
      <c r="H396" s="17" t="n">
        <v>149</v>
      </c>
      <c r="I396" s="14" t="s">
        <v>61</v>
      </c>
      <c r="J396" s="14" t="s">
        <v>46</v>
      </c>
    </row>
    <row r="397" customFormat="false" ht="15" hidden="false" customHeight="false" outlineLevel="0" collapsed="false">
      <c r="A397" s="14" t="n">
        <v>396</v>
      </c>
      <c r="B397" s="15" t="s">
        <v>1033</v>
      </c>
      <c r="C397" s="15" t="s">
        <v>58</v>
      </c>
      <c r="D397" s="15" t="s">
        <v>1034</v>
      </c>
      <c r="E397" s="15" t="s">
        <v>16</v>
      </c>
      <c r="F397" s="15" t="s">
        <v>1035</v>
      </c>
      <c r="G397" s="16" t="n">
        <v>4.1</v>
      </c>
      <c r="H397" s="17" t="n">
        <v>3674</v>
      </c>
      <c r="I397" s="14" t="s">
        <v>61</v>
      </c>
      <c r="J397" s="14" t="s">
        <v>46</v>
      </c>
    </row>
    <row r="398" customFormat="false" ht="15" hidden="false" customHeight="false" outlineLevel="0" collapsed="false">
      <c r="A398" s="14" t="n">
        <v>397</v>
      </c>
      <c r="B398" s="15" t="s">
        <v>1036</v>
      </c>
      <c r="C398" s="15" t="s">
        <v>42</v>
      </c>
      <c r="D398" s="15" t="s">
        <v>1034</v>
      </c>
      <c r="E398" s="15" t="s">
        <v>16</v>
      </c>
      <c r="F398" s="15" t="s">
        <v>1037</v>
      </c>
      <c r="G398" s="16" t="n">
        <v>4.9</v>
      </c>
      <c r="H398" s="17" t="n">
        <v>828</v>
      </c>
      <c r="I398" s="14" t="s">
        <v>61</v>
      </c>
      <c r="J398" s="14" t="s">
        <v>46</v>
      </c>
    </row>
    <row r="399" customFormat="false" ht="15" hidden="false" customHeight="false" outlineLevel="0" collapsed="false">
      <c r="A399" s="14" t="n">
        <v>398</v>
      </c>
      <c r="B399" s="15" t="s">
        <v>1038</v>
      </c>
      <c r="C399" s="15" t="s">
        <v>58</v>
      </c>
      <c r="D399" s="15" t="s">
        <v>1034</v>
      </c>
      <c r="E399" s="15" t="s">
        <v>16</v>
      </c>
      <c r="F399" s="15" t="s">
        <v>1039</v>
      </c>
      <c r="G399" s="16" t="n">
        <v>4.8</v>
      </c>
      <c r="H399" s="17" t="n">
        <v>763</v>
      </c>
      <c r="I399" s="14" t="s">
        <v>61</v>
      </c>
      <c r="J399" s="14" t="s">
        <v>46</v>
      </c>
    </row>
    <row r="400" customFormat="false" ht="15" hidden="false" customHeight="false" outlineLevel="0" collapsed="false">
      <c r="A400" s="14" t="n">
        <v>399</v>
      </c>
      <c r="B400" s="15" t="s">
        <v>1040</v>
      </c>
      <c r="C400" s="15" t="s">
        <v>42</v>
      </c>
      <c r="D400" s="15" t="s">
        <v>1034</v>
      </c>
      <c r="E400" s="15" t="s">
        <v>16</v>
      </c>
      <c r="F400" s="15" t="s">
        <v>1041</v>
      </c>
      <c r="G400" s="16" t="n">
        <v>4.7</v>
      </c>
      <c r="H400" s="17" t="n">
        <v>3018</v>
      </c>
      <c r="I400" s="14" t="s">
        <v>55</v>
      </c>
      <c r="J400" s="14" t="s">
        <v>46</v>
      </c>
    </row>
    <row r="401" customFormat="false" ht="15" hidden="false" customHeight="false" outlineLevel="0" collapsed="false">
      <c r="A401" s="14" t="n">
        <v>400</v>
      </c>
      <c r="B401" s="15" t="s">
        <v>1042</v>
      </c>
      <c r="C401" s="15" t="s">
        <v>58</v>
      </c>
      <c r="D401" s="15" t="s">
        <v>1043</v>
      </c>
      <c r="E401" s="15" t="s">
        <v>16</v>
      </c>
      <c r="F401" s="15" t="s">
        <v>1044</v>
      </c>
      <c r="G401" s="16" t="n">
        <v>4.7</v>
      </c>
      <c r="H401" s="17" t="n">
        <v>1741</v>
      </c>
      <c r="I401" s="14" t="s">
        <v>61</v>
      </c>
      <c r="J401" s="14" t="s">
        <v>46</v>
      </c>
    </row>
    <row r="402" customFormat="false" ht="15" hidden="false" customHeight="false" outlineLevel="0" collapsed="false">
      <c r="A402" s="14" t="n">
        <v>401</v>
      </c>
      <c r="B402" s="15" t="s">
        <v>1045</v>
      </c>
      <c r="C402" s="15" t="s">
        <v>42</v>
      </c>
      <c r="D402" s="15" t="s">
        <v>1043</v>
      </c>
      <c r="E402" s="15" t="s">
        <v>16</v>
      </c>
      <c r="F402" s="15" t="s">
        <v>1046</v>
      </c>
      <c r="G402" s="16" t="n">
        <v>4.8</v>
      </c>
      <c r="H402" s="17" t="n">
        <v>627</v>
      </c>
      <c r="I402" s="14" t="s">
        <v>61</v>
      </c>
      <c r="J402" s="14" t="s">
        <v>46</v>
      </c>
    </row>
    <row r="403" customFormat="false" ht="15" hidden="false" customHeight="false" outlineLevel="0" collapsed="false">
      <c r="A403" s="14" t="n">
        <v>402</v>
      </c>
      <c r="B403" s="15" t="s">
        <v>1047</v>
      </c>
      <c r="C403" s="15" t="s">
        <v>42</v>
      </c>
      <c r="D403" s="15" t="s">
        <v>1048</v>
      </c>
      <c r="E403" s="15" t="s">
        <v>17</v>
      </c>
      <c r="F403" s="15" t="s">
        <v>1049</v>
      </c>
      <c r="G403" s="16" t="n">
        <v>4.5</v>
      </c>
      <c r="H403" s="17" t="n">
        <v>159</v>
      </c>
      <c r="I403" s="14" t="s">
        <v>55</v>
      </c>
      <c r="J403" s="14" t="s">
        <v>46</v>
      </c>
    </row>
    <row r="404" customFormat="false" ht="15" hidden="false" customHeight="false" outlineLevel="0" collapsed="false">
      <c r="A404" s="14" t="n">
        <v>403</v>
      </c>
      <c r="B404" s="15" t="s">
        <v>1050</v>
      </c>
      <c r="C404" s="15" t="s">
        <v>58</v>
      </c>
      <c r="D404" s="15" t="s">
        <v>1048</v>
      </c>
      <c r="E404" s="15" t="s">
        <v>17</v>
      </c>
      <c r="F404" s="15" t="s">
        <v>1051</v>
      </c>
      <c r="G404" s="16" t="n">
        <v>4.9</v>
      </c>
      <c r="H404" s="17" t="n">
        <v>165</v>
      </c>
      <c r="I404" s="14" t="s">
        <v>55</v>
      </c>
      <c r="J404" s="14" t="s">
        <v>46</v>
      </c>
    </row>
    <row r="405" customFormat="false" ht="15" hidden="false" customHeight="false" outlineLevel="0" collapsed="false">
      <c r="A405" s="14" t="n">
        <v>404</v>
      </c>
      <c r="B405" s="15" t="s">
        <v>1052</v>
      </c>
      <c r="C405" s="15" t="s">
        <v>42</v>
      </c>
      <c r="D405" s="15" t="s">
        <v>1053</v>
      </c>
      <c r="E405" s="15" t="s">
        <v>17</v>
      </c>
      <c r="F405" s="15" t="s">
        <v>1054</v>
      </c>
      <c r="G405" s="16" t="n">
        <v>4.3</v>
      </c>
      <c r="H405" s="17" t="n">
        <v>1642</v>
      </c>
      <c r="I405" s="14" t="s">
        <v>61</v>
      </c>
      <c r="J405" s="14" t="s">
        <v>46</v>
      </c>
    </row>
    <row r="406" customFormat="false" ht="15" hidden="false" customHeight="false" outlineLevel="0" collapsed="false">
      <c r="A406" s="14" t="n">
        <v>405</v>
      </c>
      <c r="B406" s="15" t="s">
        <v>1055</v>
      </c>
      <c r="C406" s="15" t="s">
        <v>58</v>
      </c>
      <c r="D406" s="15" t="s">
        <v>1056</v>
      </c>
      <c r="E406" s="15" t="s">
        <v>17</v>
      </c>
      <c r="F406" s="15" t="s">
        <v>1057</v>
      </c>
      <c r="G406" s="16" t="n">
        <v>4.2</v>
      </c>
      <c r="H406" s="17" t="n">
        <v>2539</v>
      </c>
      <c r="I406" s="14" t="s">
        <v>61</v>
      </c>
      <c r="J406" s="14" t="s">
        <v>46</v>
      </c>
    </row>
    <row r="407" customFormat="false" ht="15" hidden="false" customHeight="false" outlineLevel="0" collapsed="false">
      <c r="A407" s="14" t="n">
        <v>406</v>
      </c>
      <c r="B407" s="15" t="s">
        <v>1058</v>
      </c>
      <c r="C407" s="15" t="s">
        <v>42</v>
      </c>
      <c r="D407" s="15" t="s">
        <v>1059</v>
      </c>
      <c r="E407" s="15" t="s">
        <v>17</v>
      </c>
      <c r="F407" s="15" t="s">
        <v>1060</v>
      </c>
      <c r="G407" s="16" t="n">
        <v>4.9</v>
      </c>
      <c r="H407" s="17" t="n">
        <v>253</v>
      </c>
      <c r="I407" s="14" t="s">
        <v>61</v>
      </c>
      <c r="J407" s="14" t="s">
        <v>46</v>
      </c>
    </row>
    <row r="408" customFormat="false" ht="15" hidden="false" customHeight="false" outlineLevel="0" collapsed="false">
      <c r="A408" s="14" t="n">
        <v>407</v>
      </c>
      <c r="B408" s="15" t="s">
        <v>1061</v>
      </c>
      <c r="C408" s="15" t="s">
        <v>42</v>
      </c>
      <c r="D408" s="15" t="s">
        <v>1062</v>
      </c>
      <c r="E408" s="15" t="s">
        <v>17</v>
      </c>
      <c r="F408" s="15" t="s">
        <v>1063</v>
      </c>
      <c r="G408" s="16" t="n">
        <v>4.2</v>
      </c>
      <c r="H408" s="17" t="n">
        <v>807</v>
      </c>
      <c r="I408" s="14" t="s">
        <v>55</v>
      </c>
      <c r="J408" s="14" t="s">
        <v>46</v>
      </c>
    </row>
    <row r="409" customFormat="false" ht="15" hidden="false" customHeight="false" outlineLevel="0" collapsed="false">
      <c r="A409" s="14" t="n">
        <v>408</v>
      </c>
      <c r="B409" s="15" t="s">
        <v>1064</v>
      </c>
      <c r="C409" s="15" t="s">
        <v>42</v>
      </c>
      <c r="D409" s="15" t="s">
        <v>1065</v>
      </c>
      <c r="E409" s="15" t="s">
        <v>17</v>
      </c>
      <c r="F409" s="15" t="s">
        <v>1066</v>
      </c>
      <c r="G409" s="16" t="n">
        <v>4.8</v>
      </c>
      <c r="H409" s="17" t="n">
        <v>65</v>
      </c>
      <c r="I409" s="14" t="s">
        <v>55</v>
      </c>
      <c r="J409" s="14" t="s">
        <v>46</v>
      </c>
    </row>
    <row r="410" customFormat="false" ht="15" hidden="false" customHeight="false" outlineLevel="0" collapsed="false">
      <c r="A410" s="14" t="n">
        <v>409</v>
      </c>
      <c r="B410" s="15" t="s">
        <v>1067</v>
      </c>
      <c r="C410" s="15" t="s">
        <v>58</v>
      </c>
      <c r="D410" s="15" t="s">
        <v>1068</v>
      </c>
      <c r="E410" s="15" t="s">
        <v>17</v>
      </c>
      <c r="F410" s="15" t="s">
        <v>1069</v>
      </c>
      <c r="G410" s="16" t="n">
        <v>4.9</v>
      </c>
      <c r="H410" s="17" t="n">
        <v>1327</v>
      </c>
      <c r="I410" s="14" t="s">
        <v>61</v>
      </c>
      <c r="J410" s="1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6" min="6" style="0" width="19"/>
    <col collapsed="false" customWidth="true" hidden="false" outlineLevel="0" max="7" min="7" style="0" width="13"/>
    <col collapsed="false" customWidth="true" hidden="false" outlineLevel="0" max="9" min="8" style="0" width="10"/>
    <col collapsed="false" customWidth="true" hidden="false" outlineLevel="0" max="10" min="10" style="0" width="11"/>
  </cols>
  <sheetData>
    <row r="1" customFormat="false" ht="26.85" hidden="false" customHeight="false" outlineLevel="0" collapsed="false">
      <c r="A1" s="13" t="s">
        <v>32</v>
      </c>
      <c r="B1" s="13" t="s">
        <v>1070</v>
      </c>
      <c r="C1" s="13" t="s">
        <v>1071</v>
      </c>
      <c r="D1" s="13" t="s">
        <v>6</v>
      </c>
      <c r="E1" s="13" t="s">
        <v>1072</v>
      </c>
      <c r="F1" s="13" t="s">
        <v>36</v>
      </c>
      <c r="G1" s="13" t="s">
        <v>37</v>
      </c>
      <c r="H1" s="13" t="s">
        <v>38</v>
      </c>
      <c r="I1" s="13" t="s">
        <v>39</v>
      </c>
      <c r="J1" s="13" t="s">
        <v>40</v>
      </c>
    </row>
    <row r="2" customFormat="false" ht="15" hidden="false" customHeight="false" outlineLevel="0" collapsed="false">
      <c r="A2" s="14" t="n">
        <v>1</v>
      </c>
      <c r="B2" s="15" t="s">
        <v>1073</v>
      </c>
      <c r="C2" s="15" t="s">
        <v>1074</v>
      </c>
      <c r="D2" s="15" t="s">
        <v>11</v>
      </c>
      <c r="E2" s="15" t="s">
        <v>1075</v>
      </c>
      <c r="F2" s="15" t="s">
        <v>1076</v>
      </c>
      <c r="G2" s="16" t="n">
        <v>4.6</v>
      </c>
      <c r="H2" s="17" t="n">
        <v>247</v>
      </c>
      <c r="I2" s="14" t="s">
        <v>55</v>
      </c>
      <c r="J2" s="14" t="s">
        <v>46</v>
      </c>
    </row>
    <row r="3" customFormat="false" ht="15" hidden="false" customHeight="false" outlineLevel="0" collapsed="false">
      <c r="A3" s="14" t="n">
        <v>2</v>
      </c>
      <c r="B3" s="15" t="s">
        <v>1073</v>
      </c>
      <c r="C3" s="15" t="s">
        <v>1077</v>
      </c>
      <c r="D3" s="15" t="s">
        <v>11</v>
      </c>
      <c r="E3" s="15" t="s">
        <v>1075</v>
      </c>
      <c r="F3" s="15" t="s">
        <v>1076</v>
      </c>
      <c r="G3" s="16" t="n">
        <v>4</v>
      </c>
      <c r="H3" s="17" t="n">
        <v>44</v>
      </c>
      <c r="I3" s="14" t="s">
        <v>55</v>
      </c>
      <c r="J3" s="14" t="s">
        <v>46</v>
      </c>
    </row>
    <row r="4" customFormat="false" ht="15" hidden="false" customHeight="false" outlineLevel="0" collapsed="false">
      <c r="A4" s="14" t="n">
        <v>3</v>
      </c>
      <c r="B4" s="15" t="s">
        <v>1073</v>
      </c>
      <c r="C4" s="15" t="s">
        <v>1078</v>
      </c>
      <c r="D4" s="15" t="s">
        <v>12</v>
      </c>
      <c r="E4" s="15" t="s">
        <v>1075</v>
      </c>
      <c r="F4" s="15" t="s">
        <v>1076</v>
      </c>
      <c r="G4" s="16" t="n">
        <v>3.7</v>
      </c>
      <c r="H4" s="17" t="n">
        <v>292</v>
      </c>
      <c r="I4" s="14" t="s">
        <v>55</v>
      </c>
      <c r="J4" s="14" t="s">
        <v>46</v>
      </c>
    </row>
    <row r="5" customFormat="false" ht="15" hidden="false" customHeight="false" outlineLevel="0" collapsed="false">
      <c r="A5" s="14" t="n">
        <v>4</v>
      </c>
      <c r="B5" s="15" t="s">
        <v>1073</v>
      </c>
      <c r="C5" s="15" t="s">
        <v>1079</v>
      </c>
      <c r="D5" s="15" t="s">
        <v>13</v>
      </c>
      <c r="E5" s="15" t="s">
        <v>1075</v>
      </c>
      <c r="F5" s="15" t="s">
        <v>1076</v>
      </c>
      <c r="G5" s="16" t="n">
        <v>3.6</v>
      </c>
      <c r="H5" s="17" t="n">
        <v>595</v>
      </c>
      <c r="I5" s="14" t="s">
        <v>55</v>
      </c>
      <c r="J5" s="14" t="s">
        <v>46</v>
      </c>
    </row>
    <row r="6" customFormat="false" ht="15" hidden="false" customHeight="false" outlineLevel="0" collapsed="false">
      <c r="A6" s="14" t="n">
        <v>5</v>
      </c>
      <c r="B6" s="15" t="s">
        <v>1080</v>
      </c>
      <c r="C6" s="15" t="s">
        <v>1081</v>
      </c>
      <c r="D6" s="15" t="s">
        <v>11</v>
      </c>
      <c r="E6" s="15" t="s">
        <v>52</v>
      </c>
      <c r="F6" s="15" t="s">
        <v>1082</v>
      </c>
      <c r="G6" s="16" t="n">
        <v>4.3</v>
      </c>
      <c r="H6" s="17" t="n">
        <v>6225</v>
      </c>
      <c r="I6" s="14" t="s">
        <v>55</v>
      </c>
      <c r="J6" s="14" t="s">
        <v>46</v>
      </c>
    </row>
    <row r="7" customFormat="false" ht="15" hidden="false" customHeight="false" outlineLevel="0" collapsed="false">
      <c r="A7" s="14" t="n">
        <v>6</v>
      </c>
      <c r="B7" s="15" t="s">
        <v>1083</v>
      </c>
      <c r="C7" s="15" t="s">
        <v>1084</v>
      </c>
      <c r="D7" s="15" t="s">
        <v>11</v>
      </c>
      <c r="E7" s="15" t="s">
        <v>1085</v>
      </c>
      <c r="F7" s="15" t="s">
        <v>1086</v>
      </c>
      <c r="G7" s="16" t="n">
        <v>4</v>
      </c>
      <c r="H7" s="17" t="n">
        <v>5099</v>
      </c>
      <c r="I7" s="14" t="s">
        <v>55</v>
      </c>
      <c r="J7" s="14" t="s">
        <v>56</v>
      </c>
    </row>
    <row r="8" customFormat="false" ht="15" hidden="false" customHeight="false" outlineLevel="0" collapsed="false">
      <c r="A8" s="14" t="n">
        <v>7</v>
      </c>
      <c r="B8" s="15" t="s">
        <v>1087</v>
      </c>
      <c r="C8" s="15" t="s">
        <v>170</v>
      </c>
      <c r="D8" s="15" t="s">
        <v>11</v>
      </c>
      <c r="E8" s="15" t="s">
        <v>1088</v>
      </c>
      <c r="F8" s="15" t="s">
        <v>1089</v>
      </c>
      <c r="G8" s="16" t="n">
        <v>4.6</v>
      </c>
      <c r="H8" s="17" t="n">
        <v>11041</v>
      </c>
      <c r="I8" s="14" t="s">
        <v>61</v>
      </c>
      <c r="J8" s="14" t="s">
        <v>46</v>
      </c>
    </row>
    <row r="9" customFormat="false" ht="15" hidden="false" customHeight="false" outlineLevel="0" collapsed="false">
      <c r="A9" s="14" t="n">
        <v>8</v>
      </c>
      <c r="B9" s="15" t="s">
        <v>1087</v>
      </c>
      <c r="C9" s="15" t="s">
        <v>1090</v>
      </c>
      <c r="D9" s="15" t="s">
        <v>11</v>
      </c>
      <c r="E9" s="15" t="s">
        <v>1088</v>
      </c>
      <c r="F9" s="15" t="s">
        <v>1089</v>
      </c>
      <c r="G9" s="16" t="n">
        <v>4.6</v>
      </c>
      <c r="H9" s="17" t="n">
        <v>18970</v>
      </c>
      <c r="I9" s="14" t="s">
        <v>61</v>
      </c>
      <c r="J9" s="14" t="s">
        <v>46</v>
      </c>
    </row>
    <row r="10" customFormat="false" ht="15" hidden="false" customHeight="false" outlineLevel="0" collapsed="false">
      <c r="A10" s="14" t="n">
        <v>9</v>
      </c>
      <c r="B10" s="15" t="s">
        <v>1087</v>
      </c>
      <c r="C10" s="15" t="s">
        <v>581</v>
      </c>
      <c r="D10" s="15" t="s">
        <v>11</v>
      </c>
      <c r="E10" s="15" t="s">
        <v>1088</v>
      </c>
      <c r="F10" s="15" t="s">
        <v>1089</v>
      </c>
      <c r="G10" s="16" t="n">
        <v>4.8</v>
      </c>
      <c r="H10" s="17" t="n">
        <v>6817</v>
      </c>
      <c r="I10" s="14" t="s">
        <v>61</v>
      </c>
      <c r="J10" s="14" t="s">
        <v>46</v>
      </c>
    </row>
    <row r="11" customFormat="false" ht="15" hidden="false" customHeight="false" outlineLevel="0" collapsed="false">
      <c r="A11" s="14" t="n">
        <v>10</v>
      </c>
      <c r="B11" s="15" t="s">
        <v>1087</v>
      </c>
      <c r="C11" s="15" t="s">
        <v>1091</v>
      </c>
      <c r="D11" s="15" t="s">
        <v>11</v>
      </c>
      <c r="E11" s="15" t="s">
        <v>1088</v>
      </c>
      <c r="F11" s="15" t="s">
        <v>1089</v>
      </c>
      <c r="G11" s="16" t="n">
        <v>4.8</v>
      </c>
      <c r="H11" s="17" t="n">
        <v>20505</v>
      </c>
      <c r="I11" s="14" t="s">
        <v>61</v>
      </c>
      <c r="J11" s="14" t="s">
        <v>46</v>
      </c>
    </row>
    <row r="12" customFormat="false" ht="15" hidden="false" customHeight="false" outlineLevel="0" collapsed="false">
      <c r="A12" s="14" t="n">
        <v>11</v>
      </c>
      <c r="B12" s="15" t="s">
        <v>1092</v>
      </c>
      <c r="C12" s="15" t="s">
        <v>1093</v>
      </c>
      <c r="D12" s="15" t="s">
        <v>11</v>
      </c>
      <c r="E12" s="15" t="s">
        <v>1094</v>
      </c>
      <c r="F12" s="15" t="s">
        <v>1095</v>
      </c>
      <c r="G12" s="16" t="n">
        <v>4.1</v>
      </c>
      <c r="H12" s="17" t="n">
        <v>2455</v>
      </c>
      <c r="I12" s="14" t="s">
        <v>55</v>
      </c>
      <c r="J12" s="14" t="s">
        <v>46</v>
      </c>
    </row>
    <row r="13" customFormat="false" ht="15" hidden="false" customHeight="false" outlineLevel="0" collapsed="false">
      <c r="A13" s="14" t="n">
        <v>12</v>
      </c>
      <c r="B13" s="15" t="s">
        <v>1092</v>
      </c>
      <c r="C13" s="15" t="s">
        <v>1096</v>
      </c>
      <c r="D13" s="15" t="s">
        <v>11</v>
      </c>
      <c r="E13" s="15" t="s">
        <v>1094</v>
      </c>
      <c r="F13" s="15" t="s">
        <v>1097</v>
      </c>
      <c r="G13" s="16" t="n">
        <v>4.2</v>
      </c>
      <c r="H13" s="17" t="n">
        <v>1446</v>
      </c>
      <c r="I13" s="14" t="s">
        <v>55</v>
      </c>
      <c r="J13" s="14" t="s">
        <v>46</v>
      </c>
    </row>
    <row r="14" customFormat="false" ht="15" hidden="false" customHeight="false" outlineLevel="0" collapsed="false">
      <c r="A14" s="14" t="n">
        <v>13</v>
      </c>
      <c r="B14" s="15" t="s">
        <v>1092</v>
      </c>
      <c r="C14" s="15" t="s">
        <v>1098</v>
      </c>
      <c r="D14" s="15" t="s">
        <v>11</v>
      </c>
      <c r="E14" s="15" t="s">
        <v>1094</v>
      </c>
      <c r="F14" s="15" t="s">
        <v>1099</v>
      </c>
      <c r="G14" s="16" t="n">
        <v>4.1</v>
      </c>
      <c r="H14" s="17" t="n">
        <v>1034</v>
      </c>
      <c r="I14" s="14" t="s">
        <v>55</v>
      </c>
      <c r="J14" s="14" t="s">
        <v>46</v>
      </c>
    </row>
    <row r="15" customFormat="false" ht="15" hidden="false" customHeight="false" outlineLevel="0" collapsed="false">
      <c r="A15" s="14" t="n">
        <v>14</v>
      </c>
      <c r="B15" s="15" t="s">
        <v>1092</v>
      </c>
      <c r="C15" s="15" t="s">
        <v>1100</v>
      </c>
      <c r="D15" s="15" t="s">
        <v>14</v>
      </c>
      <c r="E15" s="15" t="s">
        <v>1094</v>
      </c>
      <c r="F15" s="15" t="s">
        <v>1101</v>
      </c>
      <c r="G15" s="16" t="n">
        <v>4.5</v>
      </c>
      <c r="H15" s="17" t="n">
        <v>619</v>
      </c>
      <c r="I15" s="14" t="s">
        <v>55</v>
      </c>
      <c r="J15" s="14" t="s">
        <v>46</v>
      </c>
    </row>
    <row r="16" customFormat="false" ht="15" hidden="false" customHeight="false" outlineLevel="0" collapsed="false">
      <c r="A16" s="14" t="n">
        <v>15</v>
      </c>
      <c r="B16" s="15" t="s">
        <v>1102</v>
      </c>
      <c r="C16" s="15" t="s">
        <v>1103</v>
      </c>
      <c r="D16" s="15" t="s">
        <v>11</v>
      </c>
      <c r="E16" s="15" t="s">
        <v>1088</v>
      </c>
      <c r="F16" s="15" t="s">
        <v>1104</v>
      </c>
      <c r="G16" s="16" t="n">
        <v>4.6</v>
      </c>
      <c r="H16" s="17" t="n">
        <v>11673</v>
      </c>
      <c r="I16" s="14" t="s">
        <v>61</v>
      </c>
      <c r="J16" s="14" t="s">
        <v>46</v>
      </c>
    </row>
    <row r="17" customFormat="false" ht="15" hidden="false" customHeight="false" outlineLevel="0" collapsed="false">
      <c r="A17" s="14" t="n">
        <v>16</v>
      </c>
      <c r="B17" s="15" t="s">
        <v>1102</v>
      </c>
      <c r="C17" s="15" t="s">
        <v>1105</v>
      </c>
      <c r="D17" s="15" t="s">
        <v>11</v>
      </c>
      <c r="E17" s="15" t="s">
        <v>1088</v>
      </c>
      <c r="F17" s="15" t="s">
        <v>1104</v>
      </c>
      <c r="G17" s="16" t="n">
        <v>4.4</v>
      </c>
      <c r="H17" s="17" t="n">
        <v>10594</v>
      </c>
      <c r="I17" s="14" t="s">
        <v>61</v>
      </c>
      <c r="J17" s="14" t="s">
        <v>46</v>
      </c>
    </row>
    <row r="18" customFormat="false" ht="15" hidden="false" customHeight="false" outlineLevel="0" collapsed="false">
      <c r="A18" s="14" t="n">
        <v>17</v>
      </c>
      <c r="B18" s="15" t="s">
        <v>1102</v>
      </c>
      <c r="C18" s="15" t="s">
        <v>1106</v>
      </c>
      <c r="D18" s="15" t="s">
        <v>13</v>
      </c>
      <c r="E18" s="15" t="s">
        <v>1088</v>
      </c>
      <c r="F18" s="15" t="s">
        <v>1104</v>
      </c>
      <c r="G18" s="16" t="n">
        <v>4.7</v>
      </c>
      <c r="H18" s="17" t="n">
        <v>1210</v>
      </c>
      <c r="I18" s="14" t="s">
        <v>61</v>
      </c>
      <c r="J18" s="14" t="s">
        <v>46</v>
      </c>
    </row>
    <row r="19" customFormat="false" ht="15" hidden="false" customHeight="false" outlineLevel="0" collapsed="false">
      <c r="A19" s="14" t="n">
        <v>18</v>
      </c>
      <c r="B19" s="15" t="s">
        <v>1107</v>
      </c>
      <c r="C19" s="15" t="s">
        <v>1108</v>
      </c>
      <c r="D19" s="15" t="s">
        <v>11</v>
      </c>
      <c r="E19" s="15" t="s">
        <v>1109</v>
      </c>
      <c r="F19" s="15" t="s">
        <v>1110</v>
      </c>
      <c r="G19" s="16" t="n">
        <v>4.2</v>
      </c>
      <c r="H19" s="17" t="n">
        <v>248</v>
      </c>
      <c r="I19" s="14" t="s">
        <v>55</v>
      </c>
      <c r="J19" s="14" t="s">
        <v>56</v>
      </c>
    </row>
    <row r="20" customFormat="false" ht="15" hidden="false" customHeight="false" outlineLevel="0" collapsed="false">
      <c r="A20" s="14" t="n">
        <v>19</v>
      </c>
      <c r="B20" s="15" t="s">
        <v>1107</v>
      </c>
      <c r="C20" s="15" t="s">
        <v>1111</v>
      </c>
      <c r="D20" s="15" t="s">
        <v>11</v>
      </c>
      <c r="E20" s="15" t="s">
        <v>1109</v>
      </c>
      <c r="F20" s="15" t="s">
        <v>1110</v>
      </c>
      <c r="G20" s="16" t="n">
        <v>3.9</v>
      </c>
      <c r="H20" s="17" t="n">
        <v>94</v>
      </c>
      <c r="I20" s="14" t="s">
        <v>61</v>
      </c>
      <c r="J20" s="14" t="s">
        <v>46</v>
      </c>
    </row>
    <row r="21" customFormat="false" ht="15" hidden="false" customHeight="false" outlineLevel="0" collapsed="false">
      <c r="A21" s="14" t="n">
        <v>20</v>
      </c>
      <c r="B21" s="15" t="s">
        <v>1107</v>
      </c>
      <c r="C21" s="15" t="s">
        <v>1112</v>
      </c>
      <c r="D21" s="15" t="s">
        <v>11</v>
      </c>
      <c r="E21" s="15" t="s">
        <v>1109</v>
      </c>
      <c r="F21" s="15" t="s">
        <v>1113</v>
      </c>
      <c r="G21" s="16" t="n">
        <v>3</v>
      </c>
      <c r="H21" s="17" t="n">
        <v>208</v>
      </c>
      <c r="I21" s="14" t="s">
        <v>61</v>
      </c>
      <c r="J21" s="14" t="s">
        <v>46</v>
      </c>
    </row>
    <row r="22" customFormat="false" ht="15" hidden="false" customHeight="false" outlineLevel="0" collapsed="false">
      <c r="A22" s="14" t="n">
        <v>21</v>
      </c>
      <c r="B22" s="15" t="s">
        <v>1107</v>
      </c>
      <c r="C22" s="15" t="s">
        <v>1114</v>
      </c>
      <c r="D22" s="15" t="s">
        <v>11</v>
      </c>
      <c r="E22" s="15" t="s">
        <v>1109</v>
      </c>
      <c r="F22" s="15" t="s">
        <v>1115</v>
      </c>
      <c r="G22" s="16" t="n">
        <v>4.3</v>
      </c>
      <c r="H22" s="17" t="n">
        <v>326</v>
      </c>
      <c r="I22" s="14" t="s">
        <v>55</v>
      </c>
      <c r="J22" s="14" t="s">
        <v>46</v>
      </c>
    </row>
    <row r="23" customFormat="false" ht="15" hidden="false" customHeight="false" outlineLevel="0" collapsed="false">
      <c r="A23" s="14" t="n">
        <v>22</v>
      </c>
      <c r="B23" s="15" t="s">
        <v>1116</v>
      </c>
      <c r="C23" s="15" t="s">
        <v>59</v>
      </c>
      <c r="D23" s="15" t="s">
        <v>11</v>
      </c>
      <c r="E23" s="15" t="s">
        <v>1117</v>
      </c>
      <c r="F23" s="15" t="s">
        <v>1118</v>
      </c>
      <c r="G23" s="16" t="n">
        <v>4</v>
      </c>
      <c r="H23" s="17" t="n">
        <v>3770</v>
      </c>
      <c r="I23" s="14" t="s">
        <v>55</v>
      </c>
      <c r="J23" s="14" t="s">
        <v>46</v>
      </c>
    </row>
    <row r="24" customFormat="false" ht="15" hidden="false" customHeight="false" outlineLevel="0" collapsed="false">
      <c r="A24" s="14" t="n">
        <v>23</v>
      </c>
      <c r="B24" s="15" t="s">
        <v>1116</v>
      </c>
      <c r="C24" s="15" t="s">
        <v>116</v>
      </c>
      <c r="D24" s="15" t="s">
        <v>11</v>
      </c>
      <c r="E24" s="15" t="s">
        <v>1117</v>
      </c>
      <c r="F24" s="15" t="s">
        <v>1119</v>
      </c>
      <c r="G24" s="16" t="n">
        <v>4.1</v>
      </c>
      <c r="H24" s="17" t="n">
        <v>6669</v>
      </c>
      <c r="I24" s="14" t="s">
        <v>61</v>
      </c>
      <c r="J24" s="14" t="s">
        <v>46</v>
      </c>
    </row>
    <row r="25" customFormat="false" ht="15" hidden="false" customHeight="false" outlineLevel="0" collapsed="false">
      <c r="A25" s="14" t="n">
        <v>24</v>
      </c>
      <c r="B25" s="15" t="s">
        <v>1116</v>
      </c>
      <c r="C25" s="15" t="s">
        <v>1120</v>
      </c>
      <c r="D25" s="15" t="s">
        <v>11</v>
      </c>
      <c r="E25" s="15" t="s">
        <v>1117</v>
      </c>
      <c r="F25" s="15" t="s">
        <v>1121</v>
      </c>
      <c r="G25" s="16" t="n">
        <v>4.3</v>
      </c>
      <c r="H25" s="17" t="n">
        <v>133</v>
      </c>
      <c r="I25" s="14" t="s">
        <v>55</v>
      </c>
      <c r="J25" s="14" t="s">
        <v>46</v>
      </c>
    </row>
    <row r="26" customFormat="false" ht="15" hidden="false" customHeight="false" outlineLevel="0" collapsed="false">
      <c r="A26" s="14" t="n">
        <v>25</v>
      </c>
      <c r="B26" s="15" t="s">
        <v>1122</v>
      </c>
      <c r="C26" s="15" t="s">
        <v>1123</v>
      </c>
      <c r="D26" s="15" t="s">
        <v>11</v>
      </c>
      <c r="E26" s="15" t="s">
        <v>1124</v>
      </c>
      <c r="F26" s="15" t="s">
        <v>1125</v>
      </c>
      <c r="G26" s="16" t="n">
        <v>4.5</v>
      </c>
      <c r="H26" s="17" t="n">
        <v>678</v>
      </c>
      <c r="I26" s="14" t="s">
        <v>127</v>
      </c>
      <c r="J26" s="14" t="s">
        <v>56</v>
      </c>
    </row>
    <row r="27" customFormat="false" ht="15" hidden="false" customHeight="false" outlineLevel="0" collapsed="false">
      <c r="A27" s="14" t="n">
        <v>26</v>
      </c>
      <c r="B27" s="15" t="s">
        <v>1122</v>
      </c>
      <c r="C27" s="15" t="s">
        <v>476</v>
      </c>
      <c r="D27" s="15" t="s">
        <v>11</v>
      </c>
      <c r="E27" s="15" t="s">
        <v>1124</v>
      </c>
      <c r="F27" s="15" t="s">
        <v>127</v>
      </c>
      <c r="G27" s="16" t="n">
        <v>4.2</v>
      </c>
      <c r="H27" s="17" t="n">
        <v>46</v>
      </c>
      <c r="I27" s="14" t="s">
        <v>127</v>
      </c>
      <c r="J27" s="14" t="s">
        <v>56</v>
      </c>
    </row>
    <row r="28" customFormat="false" ht="15" hidden="false" customHeight="false" outlineLevel="0" collapsed="false">
      <c r="A28" s="14" t="n">
        <v>27</v>
      </c>
      <c r="B28" s="15" t="s">
        <v>1122</v>
      </c>
      <c r="C28" s="15" t="s">
        <v>1126</v>
      </c>
      <c r="D28" s="15" t="s">
        <v>13</v>
      </c>
      <c r="E28" s="15" t="s">
        <v>1124</v>
      </c>
      <c r="F28" s="15" t="s">
        <v>1127</v>
      </c>
      <c r="G28" s="16" t="n">
        <v>4.3</v>
      </c>
      <c r="H28" s="17" t="n">
        <v>598</v>
      </c>
      <c r="I28" s="14" t="s">
        <v>127</v>
      </c>
      <c r="J28" s="14" t="s">
        <v>56</v>
      </c>
    </row>
    <row r="29" customFormat="false" ht="15" hidden="false" customHeight="false" outlineLevel="0" collapsed="false">
      <c r="A29" s="14" t="n">
        <v>28</v>
      </c>
      <c r="B29" s="15" t="s">
        <v>1128</v>
      </c>
      <c r="C29" s="15" t="s">
        <v>59</v>
      </c>
      <c r="D29" s="15" t="s">
        <v>11</v>
      </c>
      <c r="E29" s="15" t="s">
        <v>1129</v>
      </c>
      <c r="F29" s="15" t="s">
        <v>1130</v>
      </c>
      <c r="G29" s="16" t="n">
        <v>4.3</v>
      </c>
      <c r="H29" s="17" t="n">
        <v>3377</v>
      </c>
      <c r="I29" s="14" t="s">
        <v>55</v>
      </c>
      <c r="J29" s="14" t="s">
        <v>46</v>
      </c>
    </row>
    <row r="30" customFormat="false" ht="15" hidden="false" customHeight="false" outlineLevel="0" collapsed="false">
      <c r="A30" s="14" t="n">
        <v>29</v>
      </c>
      <c r="B30" s="15" t="s">
        <v>1128</v>
      </c>
      <c r="C30" s="15" t="s">
        <v>89</v>
      </c>
      <c r="D30" s="15" t="s">
        <v>11</v>
      </c>
      <c r="E30" s="15" t="s">
        <v>1129</v>
      </c>
      <c r="F30" s="15" t="s">
        <v>1131</v>
      </c>
      <c r="G30" s="16" t="n">
        <v>4.5</v>
      </c>
      <c r="H30" s="17" t="n">
        <v>6875</v>
      </c>
      <c r="I30" s="14" t="s">
        <v>55</v>
      </c>
      <c r="J30" s="14" t="s">
        <v>56</v>
      </c>
    </row>
    <row r="31" customFormat="false" ht="15" hidden="false" customHeight="false" outlineLevel="0" collapsed="false">
      <c r="A31" s="14" t="n">
        <v>30</v>
      </c>
      <c r="B31" s="15" t="s">
        <v>1128</v>
      </c>
      <c r="C31" s="15" t="s">
        <v>1132</v>
      </c>
      <c r="D31" s="15" t="s">
        <v>11</v>
      </c>
      <c r="E31" s="15" t="s">
        <v>1129</v>
      </c>
      <c r="F31" s="15" t="s">
        <v>1133</v>
      </c>
      <c r="G31" s="16" t="n">
        <v>4.6</v>
      </c>
      <c r="H31" s="17" t="n">
        <v>1671</v>
      </c>
      <c r="I31" s="14" t="s">
        <v>61</v>
      </c>
      <c r="J31" s="14" t="s">
        <v>56</v>
      </c>
    </row>
    <row r="32" customFormat="false" ht="15" hidden="false" customHeight="false" outlineLevel="0" collapsed="false">
      <c r="A32" s="14" t="n">
        <v>31</v>
      </c>
      <c r="B32" s="15" t="s">
        <v>1128</v>
      </c>
      <c r="C32" s="15" t="s">
        <v>1106</v>
      </c>
      <c r="D32" s="15" t="s">
        <v>13</v>
      </c>
      <c r="E32" s="15" t="s">
        <v>1129</v>
      </c>
      <c r="F32" s="15" t="s">
        <v>1134</v>
      </c>
      <c r="G32" s="16" t="n">
        <v>4.6</v>
      </c>
      <c r="H32" s="17" t="n">
        <v>517</v>
      </c>
      <c r="I32" s="14" t="s">
        <v>55</v>
      </c>
      <c r="J32" s="14" t="s">
        <v>46</v>
      </c>
    </row>
    <row r="33" customFormat="false" ht="15" hidden="false" customHeight="false" outlineLevel="0" collapsed="false">
      <c r="A33" s="14" t="n">
        <v>32</v>
      </c>
      <c r="B33" s="15" t="s">
        <v>1135</v>
      </c>
      <c r="C33" s="15" t="s">
        <v>1136</v>
      </c>
      <c r="D33" s="15" t="s">
        <v>11</v>
      </c>
      <c r="E33" s="15" t="s">
        <v>1137</v>
      </c>
      <c r="F33" s="15" t="s">
        <v>1138</v>
      </c>
      <c r="G33" s="16" t="n">
        <v>4.5</v>
      </c>
      <c r="H33" s="17" t="n">
        <v>523</v>
      </c>
      <c r="I33" s="14" t="s">
        <v>55</v>
      </c>
      <c r="J33" s="14" t="s">
        <v>56</v>
      </c>
    </row>
    <row r="34" customFormat="false" ht="15" hidden="false" customHeight="false" outlineLevel="0" collapsed="false">
      <c r="A34" s="14" t="n">
        <v>33</v>
      </c>
      <c r="B34" s="15" t="s">
        <v>1135</v>
      </c>
      <c r="C34" s="15" t="s">
        <v>1139</v>
      </c>
      <c r="D34" s="15" t="s">
        <v>11</v>
      </c>
      <c r="E34" s="15" t="s">
        <v>1137</v>
      </c>
      <c r="F34" s="15" t="s">
        <v>1138</v>
      </c>
      <c r="G34" s="16" t="n">
        <v>4.5</v>
      </c>
      <c r="H34" s="17" t="n">
        <v>2419</v>
      </c>
      <c r="I34" s="14" t="s">
        <v>55</v>
      </c>
      <c r="J34" s="14" t="s">
        <v>56</v>
      </c>
    </row>
    <row r="35" customFormat="false" ht="15" hidden="false" customHeight="false" outlineLevel="0" collapsed="false">
      <c r="A35" s="14" t="n">
        <v>34</v>
      </c>
      <c r="B35" s="15" t="s">
        <v>1135</v>
      </c>
      <c r="C35" s="15" t="s">
        <v>1140</v>
      </c>
      <c r="D35" s="15" t="s">
        <v>11</v>
      </c>
      <c r="E35" s="15" t="s">
        <v>1137</v>
      </c>
      <c r="F35" s="15" t="s">
        <v>1138</v>
      </c>
      <c r="G35" s="16" t="n">
        <v>4.5</v>
      </c>
      <c r="H35" s="17" t="n">
        <v>687</v>
      </c>
      <c r="I35" s="14" t="s">
        <v>61</v>
      </c>
      <c r="J35" s="14" t="s">
        <v>56</v>
      </c>
    </row>
    <row r="36" customFormat="false" ht="15" hidden="false" customHeight="false" outlineLevel="0" collapsed="false">
      <c r="A36" s="14" t="n">
        <v>35</v>
      </c>
      <c r="B36" s="15" t="s">
        <v>1135</v>
      </c>
      <c r="C36" s="15" t="s">
        <v>1141</v>
      </c>
      <c r="D36" s="15" t="s">
        <v>11</v>
      </c>
      <c r="E36" s="15" t="s">
        <v>1137</v>
      </c>
      <c r="F36" s="15" t="s">
        <v>1138</v>
      </c>
      <c r="G36" s="16" t="n">
        <v>4.4</v>
      </c>
      <c r="H36" s="17" t="n">
        <v>3348</v>
      </c>
      <c r="I36" s="14" t="s">
        <v>55</v>
      </c>
      <c r="J36" s="14" t="s">
        <v>56</v>
      </c>
    </row>
    <row r="37" customFormat="false" ht="15" hidden="false" customHeight="false" outlineLevel="0" collapsed="false">
      <c r="A37" s="14" t="n">
        <v>36</v>
      </c>
      <c r="B37" s="15" t="s">
        <v>1135</v>
      </c>
      <c r="C37" s="15" t="s">
        <v>1142</v>
      </c>
      <c r="D37" s="15" t="s">
        <v>11</v>
      </c>
      <c r="E37" s="15" t="s">
        <v>1137</v>
      </c>
      <c r="F37" s="15" t="s">
        <v>1138</v>
      </c>
      <c r="G37" s="16" t="n">
        <v>4.5</v>
      </c>
      <c r="H37" s="17" t="n">
        <v>629</v>
      </c>
      <c r="I37" s="14" t="s">
        <v>55</v>
      </c>
      <c r="J37" s="14" t="s">
        <v>56</v>
      </c>
    </row>
    <row r="38" customFormat="false" ht="15" hidden="false" customHeight="false" outlineLevel="0" collapsed="false">
      <c r="A38" s="14" t="n">
        <v>37</v>
      </c>
      <c r="B38" s="15" t="s">
        <v>1143</v>
      </c>
      <c r="C38" s="15" t="s">
        <v>89</v>
      </c>
      <c r="D38" s="15" t="s">
        <v>11</v>
      </c>
      <c r="E38" s="15" t="s">
        <v>1144</v>
      </c>
      <c r="F38" s="15" t="s">
        <v>1145</v>
      </c>
      <c r="G38" s="16" t="n">
        <v>4.5</v>
      </c>
      <c r="H38" s="17" t="n">
        <v>17175</v>
      </c>
      <c r="I38" s="14" t="s">
        <v>61</v>
      </c>
      <c r="J38" s="14" t="s">
        <v>46</v>
      </c>
    </row>
    <row r="39" customFormat="false" ht="15" hidden="false" customHeight="false" outlineLevel="0" collapsed="false">
      <c r="A39" s="14" t="n">
        <v>38</v>
      </c>
      <c r="B39" s="15" t="s">
        <v>1143</v>
      </c>
      <c r="C39" s="15" t="s">
        <v>139</v>
      </c>
      <c r="D39" s="15" t="s">
        <v>11</v>
      </c>
      <c r="E39" s="15" t="s">
        <v>1144</v>
      </c>
      <c r="F39" s="15" t="s">
        <v>1146</v>
      </c>
      <c r="G39" s="16" t="n">
        <v>4.4</v>
      </c>
      <c r="H39" s="17" t="n">
        <v>7203</v>
      </c>
      <c r="I39" s="14" t="s">
        <v>61</v>
      </c>
      <c r="J39" s="14" t="s">
        <v>46</v>
      </c>
    </row>
    <row r="40" customFormat="false" ht="15" hidden="false" customHeight="false" outlineLevel="0" collapsed="false">
      <c r="A40" s="14" t="n">
        <v>39</v>
      </c>
      <c r="B40" s="15" t="s">
        <v>1147</v>
      </c>
      <c r="C40" s="15" t="s">
        <v>1148</v>
      </c>
      <c r="D40" s="15" t="s">
        <v>11</v>
      </c>
      <c r="E40" s="15" t="s">
        <v>1149</v>
      </c>
      <c r="F40" s="15" t="s">
        <v>1150</v>
      </c>
      <c r="G40" s="16" t="n">
        <v>4.9</v>
      </c>
      <c r="H40" s="17" t="n">
        <v>2845</v>
      </c>
      <c r="I40" s="14" t="s">
        <v>61</v>
      </c>
      <c r="J40" s="14" t="s">
        <v>46</v>
      </c>
    </row>
    <row r="41" customFormat="false" ht="15" hidden="false" customHeight="false" outlineLevel="0" collapsed="false">
      <c r="A41" s="14" t="n">
        <v>40</v>
      </c>
      <c r="B41" s="15" t="s">
        <v>1147</v>
      </c>
      <c r="C41" s="15" t="s">
        <v>677</v>
      </c>
      <c r="D41" s="15" t="s">
        <v>12</v>
      </c>
      <c r="E41" s="15" t="s">
        <v>1149</v>
      </c>
      <c r="F41" s="15" t="s">
        <v>1151</v>
      </c>
      <c r="G41" s="16" t="n">
        <v>4.8</v>
      </c>
      <c r="H41" s="17" t="n">
        <v>3635</v>
      </c>
      <c r="I41" s="14" t="s">
        <v>61</v>
      </c>
      <c r="J41" s="14" t="s">
        <v>46</v>
      </c>
    </row>
    <row r="42" customFormat="false" ht="15" hidden="false" customHeight="false" outlineLevel="0" collapsed="false">
      <c r="A42" s="14" t="n">
        <v>41</v>
      </c>
      <c r="B42" s="15" t="s">
        <v>1147</v>
      </c>
      <c r="C42" s="15" t="s">
        <v>1152</v>
      </c>
      <c r="D42" s="15" t="s">
        <v>12</v>
      </c>
      <c r="E42" s="15" t="s">
        <v>1149</v>
      </c>
      <c r="F42" s="15" t="s">
        <v>1153</v>
      </c>
      <c r="G42" s="16" t="n">
        <v>4.8</v>
      </c>
      <c r="H42" s="17" t="n">
        <v>4455</v>
      </c>
      <c r="I42" s="14" t="s">
        <v>61</v>
      </c>
      <c r="J42" s="14" t="s">
        <v>46</v>
      </c>
    </row>
    <row r="43" customFormat="false" ht="15" hidden="false" customHeight="false" outlineLevel="0" collapsed="false">
      <c r="A43" s="14" t="n">
        <v>42</v>
      </c>
      <c r="B43" s="15" t="s">
        <v>1147</v>
      </c>
      <c r="C43" s="15" t="s">
        <v>1154</v>
      </c>
      <c r="D43" s="15" t="s">
        <v>13</v>
      </c>
      <c r="E43" s="15" t="s">
        <v>1149</v>
      </c>
      <c r="F43" s="15" t="s">
        <v>1155</v>
      </c>
      <c r="G43" s="16" t="n">
        <v>4.8</v>
      </c>
      <c r="H43" s="17" t="n">
        <v>5798</v>
      </c>
      <c r="I43" s="14" t="s">
        <v>61</v>
      </c>
      <c r="J43" s="14" t="s">
        <v>46</v>
      </c>
    </row>
    <row r="44" customFormat="false" ht="15" hidden="false" customHeight="false" outlineLevel="0" collapsed="false">
      <c r="A44" s="14" t="n">
        <v>43</v>
      </c>
      <c r="B44" s="15" t="s">
        <v>1156</v>
      </c>
      <c r="C44" s="15" t="s">
        <v>89</v>
      </c>
      <c r="D44" s="15" t="s">
        <v>11</v>
      </c>
      <c r="E44" s="15" t="s">
        <v>1157</v>
      </c>
      <c r="F44" s="15" t="s">
        <v>1158</v>
      </c>
      <c r="G44" s="16" t="n">
        <v>4.7</v>
      </c>
      <c r="H44" s="17" t="n">
        <v>1878</v>
      </c>
      <c r="I44" s="14" t="s">
        <v>61</v>
      </c>
      <c r="J44" s="14" t="s">
        <v>46</v>
      </c>
    </row>
    <row r="45" customFormat="false" ht="15" hidden="false" customHeight="false" outlineLevel="0" collapsed="false">
      <c r="A45" s="14" t="n">
        <v>44</v>
      </c>
      <c r="B45" s="15" t="s">
        <v>1156</v>
      </c>
      <c r="C45" s="15" t="s">
        <v>177</v>
      </c>
      <c r="D45" s="15" t="s">
        <v>11</v>
      </c>
      <c r="E45" s="15" t="s">
        <v>1157</v>
      </c>
      <c r="F45" s="15" t="s">
        <v>1158</v>
      </c>
      <c r="G45" s="16" t="n">
        <v>4.4</v>
      </c>
      <c r="H45" s="17" t="n">
        <v>1793</v>
      </c>
      <c r="I45" s="14" t="s">
        <v>61</v>
      </c>
      <c r="J45" s="14" t="s">
        <v>46</v>
      </c>
    </row>
    <row r="46" customFormat="false" ht="15" hidden="false" customHeight="false" outlineLevel="0" collapsed="false">
      <c r="A46" s="14" t="n">
        <v>45</v>
      </c>
      <c r="B46" s="15" t="s">
        <v>1156</v>
      </c>
      <c r="C46" s="15" t="s">
        <v>1159</v>
      </c>
      <c r="D46" s="15" t="s">
        <v>12</v>
      </c>
      <c r="E46" s="15" t="s">
        <v>1157</v>
      </c>
      <c r="F46" s="15" t="s">
        <v>1158</v>
      </c>
      <c r="G46" s="16" t="n">
        <v>4.4</v>
      </c>
      <c r="H46" s="17" t="n">
        <v>3248</v>
      </c>
      <c r="I46" s="14" t="s">
        <v>61</v>
      </c>
      <c r="J46" s="14" t="s">
        <v>46</v>
      </c>
    </row>
    <row r="47" customFormat="false" ht="15" hidden="false" customHeight="false" outlineLevel="0" collapsed="false">
      <c r="A47" s="14" t="n">
        <v>46</v>
      </c>
      <c r="B47" s="15" t="s">
        <v>1156</v>
      </c>
      <c r="C47" s="15" t="s">
        <v>1160</v>
      </c>
      <c r="D47" s="15" t="s">
        <v>14</v>
      </c>
      <c r="E47" s="15" t="s">
        <v>1157</v>
      </c>
      <c r="F47" s="15" t="s">
        <v>1158</v>
      </c>
      <c r="G47" s="16" t="n">
        <v>4.4</v>
      </c>
      <c r="H47" s="17" t="n">
        <v>678</v>
      </c>
      <c r="I47" s="14" t="s">
        <v>61</v>
      </c>
      <c r="J47" s="14" t="s">
        <v>46</v>
      </c>
    </row>
    <row r="48" customFormat="false" ht="15" hidden="false" customHeight="false" outlineLevel="0" collapsed="false">
      <c r="A48" s="14" t="n">
        <v>47</v>
      </c>
      <c r="B48" s="15" t="s">
        <v>1161</v>
      </c>
      <c r="C48" s="15" t="s">
        <v>1162</v>
      </c>
      <c r="D48" s="15" t="s">
        <v>11</v>
      </c>
      <c r="E48" s="15" t="s">
        <v>1163</v>
      </c>
      <c r="F48" s="15" t="s">
        <v>1164</v>
      </c>
      <c r="G48" s="16" t="n">
        <v>4.4</v>
      </c>
      <c r="H48" s="17" t="n">
        <v>1065</v>
      </c>
      <c r="I48" s="14" t="s">
        <v>55</v>
      </c>
      <c r="J48" s="14" t="s">
        <v>56</v>
      </c>
    </row>
    <row r="49" customFormat="false" ht="15" hidden="false" customHeight="false" outlineLevel="0" collapsed="false">
      <c r="A49" s="14" t="n">
        <v>48</v>
      </c>
      <c r="B49" s="15" t="s">
        <v>1161</v>
      </c>
      <c r="C49" s="15" t="s">
        <v>1165</v>
      </c>
      <c r="D49" s="15" t="s">
        <v>11</v>
      </c>
      <c r="E49" s="15" t="s">
        <v>1163</v>
      </c>
      <c r="F49" s="15" t="s">
        <v>1166</v>
      </c>
      <c r="G49" s="16" t="n">
        <v>4.4</v>
      </c>
      <c r="H49" s="17" t="n">
        <v>1119</v>
      </c>
      <c r="I49" s="14" t="s">
        <v>55</v>
      </c>
      <c r="J49" s="14" t="s">
        <v>56</v>
      </c>
    </row>
    <row r="50" customFormat="false" ht="15" hidden="false" customHeight="false" outlineLevel="0" collapsed="false">
      <c r="A50" s="14" t="n">
        <v>49</v>
      </c>
      <c r="B50" s="15" t="s">
        <v>1161</v>
      </c>
      <c r="C50" s="15" t="s">
        <v>1167</v>
      </c>
      <c r="D50" s="15" t="s">
        <v>11</v>
      </c>
      <c r="E50" s="15" t="s">
        <v>1163</v>
      </c>
      <c r="F50" s="15" t="s">
        <v>127</v>
      </c>
      <c r="G50" s="16" t="n">
        <v>4.7</v>
      </c>
      <c r="H50" s="17" t="n">
        <v>123</v>
      </c>
      <c r="I50" s="14" t="s">
        <v>127</v>
      </c>
      <c r="J50" s="14" t="s">
        <v>56</v>
      </c>
    </row>
    <row r="51" customFormat="false" ht="15" hidden="false" customHeight="false" outlineLevel="0" collapsed="false">
      <c r="A51" s="14" t="n">
        <v>50</v>
      </c>
      <c r="B51" s="15" t="s">
        <v>1161</v>
      </c>
      <c r="C51" s="15" t="s">
        <v>1168</v>
      </c>
      <c r="D51" s="15" t="s">
        <v>11</v>
      </c>
      <c r="E51" s="15" t="s">
        <v>1163</v>
      </c>
      <c r="F51" s="15" t="s">
        <v>1169</v>
      </c>
      <c r="G51" s="16" t="n">
        <v>4.2</v>
      </c>
      <c r="H51" s="17" t="n">
        <v>501</v>
      </c>
      <c r="I51" s="14" t="s">
        <v>55</v>
      </c>
      <c r="J51" s="14" t="s">
        <v>56</v>
      </c>
    </row>
    <row r="52" customFormat="false" ht="15" hidden="false" customHeight="false" outlineLevel="0" collapsed="false">
      <c r="A52" s="14" t="n">
        <v>51</v>
      </c>
      <c r="B52" s="15" t="s">
        <v>1170</v>
      </c>
      <c r="C52" s="15" t="s">
        <v>59</v>
      </c>
      <c r="D52" s="15" t="s">
        <v>11</v>
      </c>
      <c r="E52" s="15" t="s">
        <v>1171</v>
      </c>
      <c r="F52" s="15" t="s">
        <v>1172</v>
      </c>
      <c r="G52" s="16" t="n">
        <v>3.7</v>
      </c>
      <c r="H52" s="17" t="n">
        <v>509</v>
      </c>
      <c r="I52" s="14" t="s">
        <v>55</v>
      </c>
      <c r="J52" s="14" t="s">
        <v>46</v>
      </c>
    </row>
    <row r="53" customFormat="false" ht="15" hidden="false" customHeight="false" outlineLevel="0" collapsed="false">
      <c r="A53" s="14" t="n">
        <v>52</v>
      </c>
      <c r="B53" s="15" t="s">
        <v>1170</v>
      </c>
      <c r="C53" s="15" t="s">
        <v>116</v>
      </c>
      <c r="D53" s="15" t="s">
        <v>11</v>
      </c>
      <c r="E53" s="15" t="s">
        <v>1171</v>
      </c>
      <c r="F53" s="15" t="s">
        <v>1172</v>
      </c>
      <c r="G53" s="16" t="n">
        <v>3.9</v>
      </c>
      <c r="H53" s="17" t="n">
        <v>984</v>
      </c>
      <c r="I53" s="14" t="s">
        <v>61</v>
      </c>
      <c r="J53" s="14" t="s">
        <v>46</v>
      </c>
    </row>
    <row r="54" customFormat="false" ht="15" hidden="false" customHeight="false" outlineLevel="0" collapsed="false">
      <c r="A54" s="14" t="n">
        <v>53</v>
      </c>
      <c r="B54" s="15" t="s">
        <v>1170</v>
      </c>
      <c r="C54" s="15" t="s">
        <v>1173</v>
      </c>
      <c r="D54" s="15" t="s">
        <v>11</v>
      </c>
      <c r="E54" s="15" t="s">
        <v>1171</v>
      </c>
      <c r="F54" s="15" t="s">
        <v>1172</v>
      </c>
      <c r="G54" s="16" t="n">
        <v>4.4</v>
      </c>
      <c r="H54" s="17" t="n">
        <v>22</v>
      </c>
      <c r="I54" s="14" t="s">
        <v>55</v>
      </c>
      <c r="J54" s="14" t="s">
        <v>46</v>
      </c>
    </row>
    <row r="55" customFormat="false" ht="15" hidden="false" customHeight="false" outlineLevel="0" collapsed="false">
      <c r="A55" s="14" t="n">
        <v>54</v>
      </c>
      <c r="B55" s="15" t="s">
        <v>1170</v>
      </c>
      <c r="C55" s="15" t="s">
        <v>1098</v>
      </c>
      <c r="D55" s="15" t="s">
        <v>11</v>
      </c>
      <c r="E55" s="15" t="s">
        <v>1171</v>
      </c>
      <c r="F55" s="15" t="s">
        <v>1172</v>
      </c>
      <c r="G55" s="16" t="n">
        <v>3.7</v>
      </c>
      <c r="H55" s="17" t="n">
        <v>753</v>
      </c>
      <c r="I55" s="14" t="s">
        <v>55</v>
      </c>
      <c r="J55" s="14" t="s">
        <v>46</v>
      </c>
    </row>
    <row r="56" customFormat="false" ht="15" hidden="false" customHeight="false" outlineLevel="0" collapsed="false">
      <c r="A56" s="14" t="n">
        <v>55</v>
      </c>
      <c r="B56" s="15" t="s">
        <v>1170</v>
      </c>
      <c r="C56" s="15" t="s">
        <v>1174</v>
      </c>
      <c r="D56" s="15" t="s">
        <v>11</v>
      </c>
      <c r="E56" s="15" t="s">
        <v>1171</v>
      </c>
      <c r="F56" s="15" t="s">
        <v>1172</v>
      </c>
      <c r="G56" s="16" t="n">
        <v>3.8</v>
      </c>
      <c r="H56" s="17" t="n">
        <v>482</v>
      </c>
      <c r="I56" s="14" t="s">
        <v>55</v>
      </c>
      <c r="J56" s="14" t="s">
        <v>46</v>
      </c>
    </row>
    <row r="57" customFormat="false" ht="15" hidden="false" customHeight="false" outlineLevel="0" collapsed="false">
      <c r="A57" s="14" t="n">
        <v>56</v>
      </c>
      <c r="B57" s="15" t="s">
        <v>1175</v>
      </c>
      <c r="C57" s="15" t="s">
        <v>1103</v>
      </c>
      <c r="D57" s="15" t="s">
        <v>11</v>
      </c>
      <c r="E57" s="15" t="s">
        <v>1176</v>
      </c>
      <c r="F57" s="15" t="s">
        <v>1177</v>
      </c>
      <c r="G57" s="16" t="n">
        <v>4.5</v>
      </c>
      <c r="H57" s="17" t="n">
        <v>2550</v>
      </c>
      <c r="I57" s="14" t="s">
        <v>61</v>
      </c>
      <c r="J57" s="14" t="s">
        <v>46</v>
      </c>
    </row>
    <row r="58" customFormat="false" ht="15" hidden="false" customHeight="false" outlineLevel="0" collapsed="false">
      <c r="A58" s="14" t="n">
        <v>57</v>
      </c>
      <c r="B58" s="15" t="s">
        <v>1175</v>
      </c>
      <c r="C58" s="15" t="s">
        <v>1178</v>
      </c>
      <c r="D58" s="15" t="s">
        <v>11</v>
      </c>
      <c r="E58" s="15" t="s">
        <v>1176</v>
      </c>
      <c r="F58" s="15" t="s">
        <v>1179</v>
      </c>
      <c r="G58" s="16" t="n">
        <v>4.5</v>
      </c>
      <c r="H58" s="17" t="n">
        <v>6568</v>
      </c>
      <c r="I58" s="14" t="s">
        <v>61</v>
      </c>
      <c r="J58" s="14" t="s">
        <v>46</v>
      </c>
    </row>
    <row r="59" customFormat="false" ht="15" hidden="false" customHeight="false" outlineLevel="0" collapsed="false">
      <c r="A59" s="14" t="n">
        <v>58</v>
      </c>
      <c r="B59" s="15" t="s">
        <v>1180</v>
      </c>
      <c r="C59" s="15" t="s">
        <v>1181</v>
      </c>
      <c r="D59" s="15" t="s">
        <v>11</v>
      </c>
      <c r="E59" s="15" t="s">
        <v>1182</v>
      </c>
      <c r="F59" s="15" t="s">
        <v>1183</v>
      </c>
      <c r="G59" s="16" t="n">
        <v>4.4</v>
      </c>
      <c r="H59" s="17" t="n">
        <v>2421</v>
      </c>
      <c r="I59" s="14" t="s">
        <v>61</v>
      </c>
      <c r="J59" s="14" t="s">
        <v>56</v>
      </c>
    </row>
    <row r="60" customFormat="false" ht="15" hidden="false" customHeight="false" outlineLevel="0" collapsed="false">
      <c r="A60" s="14" t="n">
        <v>59</v>
      </c>
      <c r="B60" s="15" t="s">
        <v>1180</v>
      </c>
      <c r="C60" s="15" t="s">
        <v>1184</v>
      </c>
      <c r="D60" s="15" t="s">
        <v>11</v>
      </c>
      <c r="E60" s="15" t="s">
        <v>1182</v>
      </c>
      <c r="F60" s="15" t="s">
        <v>1185</v>
      </c>
      <c r="G60" s="16" t="n">
        <v>4.2</v>
      </c>
      <c r="H60" s="17" t="n">
        <v>333</v>
      </c>
      <c r="I60" s="14" t="s">
        <v>61</v>
      </c>
      <c r="J60" s="14" t="s">
        <v>56</v>
      </c>
    </row>
    <row r="61" customFormat="false" ht="15" hidden="false" customHeight="false" outlineLevel="0" collapsed="false">
      <c r="A61" s="14" t="n">
        <v>60</v>
      </c>
      <c r="B61" s="15" t="s">
        <v>1180</v>
      </c>
      <c r="C61" s="15" t="s">
        <v>1178</v>
      </c>
      <c r="D61" s="15" t="s">
        <v>11</v>
      </c>
      <c r="E61" s="15" t="s">
        <v>1182</v>
      </c>
      <c r="F61" s="15" t="s">
        <v>1186</v>
      </c>
      <c r="G61" s="16" t="n">
        <v>4.3</v>
      </c>
      <c r="H61" s="17" t="n">
        <v>3675</v>
      </c>
      <c r="I61" s="14" t="s">
        <v>61</v>
      </c>
      <c r="J61" s="14" t="s">
        <v>56</v>
      </c>
    </row>
    <row r="62" customFormat="false" ht="15" hidden="false" customHeight="false" outlineLevel="0" collapsed="false">
      <c r="A62" s="14" t="n">
        <v>61</v>
      </c>
      <c r="B62" s="15" t="s">
        <v>1180</v>
      </c>
      <c r="C62" s="15" t="s">
        <v>607</v>
      </c>
      <c r="D62" s="15" t="s">
        <v>11</v>
      </c>
      <c r="E62" s="15" t="s">
        <v>1182</v>
      </c>
      <c r="F62" s="15" t="s">
        <v>1187</v>
      </c>
      <c r="G62" s="16" t="n">
        <v>4.3</v>
      </c>
      <c r="H62" s="17" t="n">
        <v>6412</v>
      </c>
      <c r="I62" s="14" t="s">
        <v>61</v>
      </c>
      <c r="J62" s="14" t="s">
        <v>46</v>
      </c>
    </row>
    <row r="63" customFormat="false" ht="15" hidden="false" customHeight="false" outlineLevel="0" collapsed="false">
      <c r="A63" s="14" t="n">
        <v>62</v>
      </c>
      <c r="B63" s="15" t="s">
        <v>1188</v>
      </c>
      <c r="C63" s="15" t="s">
        <v>1189</v>
      </c>
      <c r="D63" s="15" t="s">
        <v>11</v>
      </c>
      <c r="E63" s="15" t="s">
        <v>1190</v>
      </c>
      <c r="F63" s="15" t="s">
        <v>1191</v>
      </c>
      <c r="G63" s="16" t="n">
        <v>4.2</v>
      </c>
      <c r="H63" s="17" t="n">
        <v>3322</v>
      </c>
      <c r="I63" s="14" t="s">
        <v>61</v>
      </c>
      <c r="J63" s="14" t="s">
        <v>46</v>
      </c>
    </row>
    <row r="64" customFormat="false" ht="15" hidden="false" customHeight="false" outlineLevel="0" collapsed="false">
      <c r="A64" s="14" t="n">
        <v>63</v>
      </c>
      <c r="B64" s="15" t="s">
        <v>1188</v>
      </c>
      <c r="C64" s="15" t="s">
        <v>1192</v>
      </c>
      <c r="D64" s="15" t="s">
        <v>11</v>
      </c>
      <c r="E64" s="15" t="s">
        <v>1190</v>
      </c>
      <c r="F64" s="15" t="s">
        <v>1193</v>
      </c>
      <c r="G64" s="16" t="n">
        <v>4.2</v>
      </c>
      <c r="H64" s="17" t="n">
        <v>1487</v>
      </c>
      <c r="I64" s="14" t="s">
        <v>61</v>
      </c>
      <c r="J64" s="14" t="s">
        <v>46</v>
      </c>
    </row>
    <row r="65" customFormat="false" ht="15" hidden="false" customHeight="false" outlineLevel="0" collapsed="false">
      <c r="A65" s="14" t="n">
        <v>64</v>
      </c>
      <c r="B65" s="15" t="s">
        <v>1188</v>
      </c>
      <c r="C65" s="15" t="s">
        <v>1194</v>
      </c>
      <c r="D65" s="15" t="s">
        <v>11</v>
      </c>
      <c r="E65" s="15" t="s">
        <v>1190</v>
      </c>
      <c r="F65" s="15" t="s">
        <v>1195</v>
      </c>
      <c r="G65" s="16" t="n">
        <v>4.4</v>
      </c>
      <c r="H65" s="17" t="n">
        <v>529</v>
      </c>
      <c r="I65" s="14" t="s">
        <v>61</v>
      </c>
      <c r="J65" s="14" t="s">
        <v>46</v>
      </c>
    </row>
    <row r="66" customFormat="false" ht="15" hidden="false" customHeight="false" outlineLevel="0" collapsed="false">
      <c r="A66" s="14" t="n">
        <v>65</v>
      </c>
      <c r="B66" s="15" t="s">
        <v>1188</v>
      </c>
      <c r="C66" s="15" t="s">
        <v>323</v>
      </c>
      <c r="D66" s="15" t="s">
        <v>11</v>
      </c>
      <c r="E66" s="15" t="s">
        <v>1190</v>
      </c>
      <c r="F66" s="15" t="s">
        <v>1196</v>
      </c>
      <c r="G66" s="16" t="n">
        <v>4.6</v>
      </c>
      <c r="H66" s="17" t="n">
        <v>109</v>
      </c>
      <c r="I66" s="14" t="s">
        <v>61</v>
      </c>
      <c r="J66" s="14" t="s">
        <v>46</v>
      </c>
    </row>
    <row r="67" customFormat="false" ht="15" hidden="false" customHeight="false" outlineLevel="0" collapsed="false">
      <c r="A67" s="14" t="n">
        <v>66</v>
      </c>
      <c r="B67" s="15" t="s">
        <v>1197</v>
      </c>
      <c r="C67" s="15" t="s">
        <v>1198</v>
      </c>
      <c r="D67" s="15" t="s">
        <v>11</v>
      </c>
      <c r="E67" s="15" t="s">
        <v>1137</v>
      </c>
      <c r="F67" s="15" t="s">
        <v>1199</v>
      </c>
      <c r="G67" s="16" t="n">
        <v>4.3</v>
      </c>
      <c r="H67" s="17" t="n">
        <v>898</v>
      </c>
      <c r="I67" s="14" t="s">
        <v>55</v>
      </c>
      <c r="J67" s="14" t="s">
        <v>46</v>
      </c>
    </row>
    <row r="68" customFormat="false" ht="15" hidden="false" customHeight="false" outlineLevel="0" collapsed="false">
      <c r="A68" s="14" t="n">
        <v>67</v>
      </c>
      <c r="B68" s="15" t="s">
        <v>1197</v>
      </c>
      <c r="C68" s="15" t="s">
        <v>1200</v>
      </c>
      <c r="D68" s="15" t="s">
        <v>11</v>
      </c>
      <c r="E68" s="15" t="s">
        <v>1137</v>
      </c>
      <c r="F68" s="15" t="s">
        <v>1199</v>
      </c>
      <c r="G68" s="16" t="n">
        <v>4.6</v>
      </c>
      <c r="H68" s="17" t="n">
        <v>712</v>
      </c>
      <c r="I68" s="14" t="s">
        <v>55</v>
      </c>
      <c r="J68" s="14" t="s">
        <v>56</v>
      </c>
    </row>
    <row r="69" customFormat="false" ht="15" hidden="false" customHeight="false" outlineLevel="0" collapsed="false">
      <c r="A69" s="14" t="n">
        <v>68</v>
      </c>
      <c r="B69" s="15" t="s">
        <v>1197</v>
      </c>
      <c r="C69" s="15" t="s">
        <v>1201</v>
      </c>
      <c r="D69" s="15" t="s">
        <v>11</v>
      </c>
      <c r="E69" s="15" t="s">
        <v>1137</v>
      </c>
      <c r="F69" s="15" t="s">
        <v>1199</v>
      </c>
      <c r="G69" s="16" t="n">
        <v>4.2</v>
      </c>
      <c r="H69" s="17" t="n">
        <v>1849</v>
      </c>
      <c r="I69" s="14" t="s">
        <v>55</v>
      </c>
      <c r="J69" s="14" t="s">
        <v>56</v>
      </c>
    </row>
    <row r="70" customFormat="false" ht="15" hidden="false" customHeight="false" outlineLevel="0" collapsed="false">
      <c r="A70" s="14" t="n">
        <v>69</v>
      </c>
      <c r="B70" s="15" t="s">
        <v>1197</v>
      </c>
      <c r="C70" s="15" t="s">
        <v>1202</v>
      </c>
      <c r="D70" s="15" t="s">
        <v>11</v>
      </c>
      <c r="E70" s="15" t="s">
        <v>1137</v>
      </c>
      <c r="F70" s="15" t="s">
        <v>1199</v>
      </c>
      <c r="G70" s="16" t="n">
        <v>4.4</v>
      </c>
      <c r="H70" s="17" t="n">
        <v>2182</v>
      </c>
      <c r="I70" s="14" t="s">
        <v>55</v>
      </c>
      <c r="J70" s="14" t="s">
        <v>56</v>
      </c>
    </row>
    <row r="71" customFormat="false" ht="15" hidden="false" customHeight="false" outlineLevel="0" collapsed="false">
      <c r="A71" s="14" t="n">
        <v>70</v>
      </c>
      <c r="B71" s="15" t="s">
        <v>1197</v>
      </c>
      <c r="C71" s="15" t="s">
        <v>629</v>
      </c>
      <c r="D71" s="15" t="s">
        <v>11</v>
      </c>
      <c r="E71" s="15" t="s">
        <v>1137</v>
      </c>
      <c r="F71" s="15" t="s">
        <v>1199</v>
      </c>
      <c r="G71" s="16" t="n">
        <v>4.9</v>
      </c>
      <c r="H71" s="17" t="n">
        <v>163</v>
      </c>
      <c r="I71" s="14" t="s">
        <v>55</v>
      </c>
      <c r="J71" s="14" t="s">
        <v>46</v>
      </c>
    </row>
    <row r="72" customFormat="false" ht="15" hidden="false" customHeight="false" outlineLevel="0" collapsed="false">
      <c r="A72" s="14" t="n">
        <v>71</v>
      </c>
      <c r="B72" s="15" t="s">
        <v>1203</v>
      </c>
      <c r="C72" s="15" t="s">
        <v>59</v>
      </c>
      <c r="D72" s="15" t="s">
        <v>11</v>
      </c>
      <c r="E72" s="15" t="s">
        <v>1204</v>
      </c>
      <c r="F72" s="15" t="s">
        <v>1205</v>
      </c>
      <c r="G72" s="16" t="n">
        <v>4.4</v>
      </c>
      <c r="H72" s="17" t="n">
        <v>775</v>
      </c>
      <c r="I72" s="14" t="s">
        <v>55</v>
      </c>
      <c r="J72" s="14" t="s">
        <v>56</v>
      </c>
    </row>
    <row r="73" customFormat="false" ht="15" hidden="false" customHeight="false" outlineLevel="0" collapsed="false">
      <c r="A73" s="14" t="n">
        <v>72</v>
      </c>
      <c r="B73" s="15" t="s">
        <v>1203</v>
      </c>
      <c r="C73" s="15" t="s">
        <v>1206</v>
      </c>
      <c r="D73" s="15" t="s">
        <v>11</v>
      </c>
      <c r="E73" s="15" t="s">
        <v>1204</v>
      </c>
      <c r="F73" s="15" t="s">
        <v>1205</v>
      </c>
      <c r="G73" s="16" t="n">
        <v>4</v>
      </c>
      <c r="H73" s="17" t="n">
        <v>2584</v>
      </c>
      <c r="I73" s="14" t="s">
        <v>55</v>
      </c>
      <c r="J73" s="14" t="s">
        <v>56</v>
      </c>
    </row>
    <row r="74" customFormat="false" ht="15" hidden="false" customHeight="false" outlineLevel="0" collapsed="false">
      <c r="A74" s="14" t="n">
        <v>73</v>
      </c>
      <c r="B74" s="15" t="s">
        <v>1203</v>
      </c>
      <c r="C74" s="15" t="s">
        <v>1207</v>
      </c>
      <c r="D74" s="15" t="s">
        <v>11</v>
      </c>
      <c r="E74" s="15" t="s">
        <v>1204</v>
      </c>
      <c r="F74" s="15" t="s">
        <v>1205</v>
      </c>
      <c r="G74" s="16" t="n">
        <v>3.8</v>
      </c>
      <c r="H74" s="17" t="n">
        <v>28</v>
      </c>
      <c r="I74" s="14" t="s">
        <v>55</v>
      </c>
      <c r="J74" s="14" t="s">
        <v>46</v>
      </c>
    </row>
    <row r="75" customFormat="false" ht="15" hidden="false" customHeight="false" outlineLevel="0" collapsed="false">
      <c r="A75" s="14" t="n">
        <v>74</v>
      </c>
      <c r="B75" s="15" t="s">
        <v>1203</v>
      </c>
      <c r="C75" s="15" t="s">
        <v>1208</v>
      </c>
      <c r="D75" s="15" t="s">
        <v>12</v>
      </c>
      <c r="E75" s="15" t="s">
        <v>1204</v>
      </c>
      <c r="F75" s="15" t="s">
        <v>1205</v>
      </c>
      <c r="G75" s="16" t="n">
        <v>4</v>
      </c>
      <c r="H75" s="17" t="n">
        <v>2513</v>
      </c>
      <c r="I75" s="14" t="s">
        <v>55</v>
      </c>
      <c r="J75" s="14" t="s">
        <v>56</v>
      </c>
    </row>
    <row r="76" customFormat="false" ht="15" hidden="false" customHeight="false" outlineLevel="0" collapsed="false">
      <c r="A76" s="14" t="n">
        <v>75</v>
      </c>
      <c r="B76" s="15" t="s">
        <v>1209</v>
      </c>
      <c r="C76" s="15" t="s">
        <v>78</v>
      </c>
      <c r="D76" s="15" t="s">
        <v>11</v>
      </c>
      <c r="E76" s="15" t="s">
        <v>1210</v>
      </c>
      <c r="F76" s="15" t="s">
        <v>1211</v>
      </c>
      <c r="G76" s="16" t="n">
        <v>4.1</v>
      </c>
      <c r="H76" s="17" t="n">
        <v>1822</v>
      </c>
      <c r="I76" s="14" t="s">
        <v>61</v>
      </c>
      <c r="J76" s="14" t="s">
        <v>46</v>
      </c>
    </row>
    <row r="77" customFormat="false" ht="15" hidden="false" customHeight="false" outlineLevel="0" collapsed="false">
      <c r="A77" s="14" t="n">
        <v>76</v>
      </c>
      <c r="B77" s="15" t="s">
        <v>1209</v>
      </c>
      <c r="C77" s="15" t="s">
        <v>1212</v>
      </c>
      <c r="D77" s="15" t="s">
        <v>11</v>
      </c>
      <c r="E77" s="15" t="s">
        <v>1210</v>
      </c>
      <c r="F77" s="15" t="s">
        <v>1213</v>
      </c>
      <c r="G77" s="16" t="n">
        <v>3.8</v>
      </c>
      <c r="H77" s="17" t="n">
        <v>4871</v>
      </c>
      <c r="I77" s="14" t="s">
        <v>55</v>
      </c>
      <c r="J77" s="14" t="s">
        <v>46</v>
      </c>
    </row>
    <row r="78" customFormat="false" ht="15" hidden="false" customHeight="false" outlineLevel="0" collapsed="false">
      <c r="A78" s="14" t="n">
        <v>77</v>
      </c>
      <c r="B78" s="15" t="s">
        <v>1209</v>
      </c>
      <c r="C78" s="15" t="s">
        <v>1214</v>
      </c>
      <c r="D78" s="15" t="s">
        <v>11</v>
      </c>
      <c r="E78" s="15" t="s">
        <v>1210</v>
      </c>
      <c r="F78" s="15" t="s">
        <v>1215</v>
      </c>
      <c r="G78" s="16" t="n">
        <v>4.2</v>
      </c>
      <c r="H78" s="17" t="n">
        <v>98</v>
      </c>
      <c r="I78" s="14" t="s">
        <v>127</v>
      </c>
      <c r="J78" s="14" t="s">
        <v>46</v>
      </c>
    </row>
    <row r="79" customFormat="false" ht="15" hidden="false" customHeight="false" outlineLevel="0" collapsed="false">
      <c r="A79" s="14" t="n">
        <v>78</v>
      </c>
      <c r="B79" s="15" t="s">
        <v>1209</v>
      </c>
      <c r="C79" s="15" t="s">
        <v>1216</v>
      </c>
      <c r="D79" s="15" t="s">
        <v>11</v>
      </c>
      <c r="E79" s="15" t="s">
        <v>1210</v>
      </c>
      <c r="F79" s="15" t="s">
        <v>1217</v>
      </c>
      <c r="G79" s="16" t="n">
        <v>3.8</v>
      </c>
      <c r="H79" s="17" t="n">
        <v>2208</v>
      </c>
      <c r="I79" s="14" t="s">
        <v>55</v>
      </c>
      <c r="J79" s="14" t="s">
        <v>56</v>
      </c>
    </row>
    <row r="80" customFormat="false" ht="15" hidden="false" customHeight="false" outlineLevel="0" collapsed="false">
      <c r="A80" s="14" t="n">
        <v>79</v>
      </c>
      <c r="B80" s="15" t="s">
        <v>1218</v>
      </c>
      <c r="C80" s="15" t="s">
        <v>1219</v>
      </c>
      <c r="D80" s="15" t="s">
        <v>11</v>
      </c>
      <c r="E80" s="15" t="s">
        <v>1094</v>
      </c>
      <c r="F80" s="15" t="s">
        <v>1220</v>
      </c>
      <c r="G80" s="16" t="n">
        <v>4.5</v>
      </c>
      <c r="H80" s="17" t="n">
        <v>301</v>
      </c>
      <c r="I80" s="14" t="s">
        <v>55</v>
      </c>
      <c r="J80" s="14" t="s">
        <v>46</v>
      </c>
    </row>
    <row r="81" customFormat="false" ht="15" hidden="false" customHeight="false" outlineLevel="0" collapsed="false">
      <c r="A81" s="14" t="n">
        <v>80</v>
      </c>
      <c r="B81" s="15" t="s">
        <v>1218</v>
      </c>
      <c r="C81" s="15" t="s">
        <v>1221</v>
      </c>
      <c r="D81" s="15" t="s">
        <v>11</v>
      </c>
      <c r="E81" s="15" t="s">
        <v>1094</v>
      </c>
      <c r="F81" s="15" t="s">
        <v>1220</v>
      </c>
      <c r="G81" s="16" t="n">
        <v>4.3</v>
      </c>
      <c r="H81" s="17" t="n">
        <v>6854</v>
      </c>
      <c r="I81" s="14" t="s">
        <v>55</v>
      </c>
      <c r="J81" s="14" t="s">
        <v>56</v>
      </c>
    </row>
    <row r="82" customFormat="false" ht="15" hidden="false" customHeight="false" outlineLevel="0" collapsed="false">
      <c r="A82" s="14" t="n">
        <v>81</v>
      </c>
      <c r="B82" s="15" t="s">
        <v>1218</v>
      </c>
      <c r="C82" s="15" t="s">
        <v>1222</v>
      </c>
      <c r="D82" s="15" t="s">
        <v>11</v>
      </c>
      <c r="E82" s="15" t="s">
        <v>1094</v>
      </c>
      <c r="F82" s="15" t="s">
        <v>1220</v>
      </c>
      <c r="G82" s="16" t="n">
        <v>4.7</v>
      </c>
      <c r="H82" s="17" t="n">
        <v>447</v>
      </c>
      <c r="I82" s="14" t="s">
        <v>55</v>
      </c>
      <c r="J82" s="14" t="s">
        <v>56</v>
      </c>
    </row>
    <row r="83" customFormat="false" ht="15" hidden="false" customHeight="false" outlineLevel="0" collapsed="false">
      <c r="A83" s="14" t="n">
        <v>82</v>
      </c>
      <c r="B83" s="15" t="s">
        <v>1218</v>
      </c>
      <c r="C83" s="15" t="s">
        <v>1223</v>
      </c>
      <c r="D83" s="15" t="s">
        <v>11</v>
      </c>
      <c r="E83" s="15" t="s">
        <v>1094</v>
      </c>
      <c r="F83" s="15" t="s">
        <v>1220</v>
      </c>
      <c r="G83" s="16" t="n">
        <v>4.4</v>
      </c>
      <c r="H83" s="17" t="n">
        <v>8106</v>
      </c>
      <c r="I83" s="14" t="s">
        <v>55</v>
      </c>
      <c r="J83" s="14" t="s">
        <v>46</v>
      </c>
    </row>
    <row r="84" customFormat="false" ht="15" hidden="false" customHeight="false" outlineLevel="0" collapsed="false">
      <c r="A84" s="14" t="n">
        <v>83</v>
      </c>
      <c r="B84" s="15" t="s">
        <v>1218</v>
      </c>
      <c r="C84" s="15" t="s">
        <v>1224</v>
      </c>
      <c r="D84" s="15" t="s">
        <v>11</v>
      </c>
      <c r="E84" s="15" t="s">
        <v>1094</v>
      </c>
      <c r="F84" s="15" t="s">
        <v>1220</v>
      </c>
      <c r="G84" s="16" t="n">
        <v>4.2</v>
      </c>
      <c r="H84" s="17" t="n">
        <v>3941</v>
      </c>
      <c r="I84" s="14" t="s">
        <v>61</v>
      </c>
      <c r="J84" s="14" t="s">
        <v>56</v>
      </c>
    </row>
    <row r="85" customFormat="false" ht="15" hidden="false" customHeight="false" outlineLevel="0" collapsed="false">
      <c r="A85" s="14" t="n">
        <v>84</v>
      </c>
      <c r="B85" s="15" t="s">
        <v>1225</v>
      </c>
      <c r="C85" s="15" t="s">
        <v>1226</v>
      </c>
      <c r="D85" s="15" t="s">
        <v>11</v>
      </c>
      <c r="E85" s="15" t="s">
        <v>1227</v>
      </c>
      <c r="F85" s="15" t="s">
        <v>1228</v>
      </c>
      <c r="G85" s="16" t="n">
        <v>3.8</v>
      </c>
      <c r="H85" s="17" t="n">
        <v>90</v>
      </c>
      <c r="I85" s="14" t="s">
        <v>55</v>
      </c>
      <c r="J85" s="14" t="s">
        <v>46</v>
      </c>
    </row>
    <row r="86" customFormat="false" ht="15" hidden="false" customHeight="false" outlineLevel="0" collapsed="false">
      <c r="A86" s="14" t="n">
        <v>85</v>
      </c>
      <c r="B86" s="15" t="s">
        <v>1225</v>
      </c>
      <c r="C86" s="15" t="s">
        <v>607</v>
      </c>
      <c r="D86" s="15" t="s">
        <v>11</v>
      </c>
      <c r="E86" s="15" t="s">
        <v>1227</v>
      </c>
      <c r="F86" s="15" t="s">
        <v>1229</v>
      </c>
      <c r="G86" s="16" t="n">
        <v>3.5</v>
      </c>
      <c r="H86" s="17" t="n">
        <v>13</v>
      </c>
      <c r="I86" s="14" t="s">
        <v>55</v>
      </c>
      <c r="J86" s="14" t="s">
        <v>46</v>
      </c>
    </row>
    <row r="87" customFormat="false" ht="15" hidden="false" customHeight="false" outlineLevel="0" collapsed="false">
      <c r="A87" s="14" t="n">
        <v>86</v>
      </c>
      <c r="B87" s="15" t="s">
        <v>1225</v>
      </c>
      <c r="C87" s="15" t="s">
        <v>1230</v>
      </c>
      <c r="D87" s="15" t="s">
        <v>13</v>
      </c>
      <c r="E87" s="15" t="s">
        <v>1227</v>
      </c>
      <c r="F87" s="15" t="s">
        <v>1231</v>
      </c>
      <c r="G87" s="16" t="n">
        <v>4.3</v>
      </c>
      <c r="H87" s="17" t="n">
        <v>429</v>
      </c>
      <c r="I87" s="14" t="s">
        <v>55</v>
      </c>
      <c r="J87" s="14" t="s">
        <v>46</v>
      </c>
    </row>
    <row r="88" customFormat="false" ht="15" hidden="false" customHeight="false" outlineLevel="0" collapsed="false">
      <c r="A88" s="14" t="n">
        <v>87</v>
      </c>
      <c r="B88" s="15" t="s">
        <v>1232</v>
      </c>
      <c r="C88" s="15" t="s">
        <v>1233</v>
      </c>
      <c r="D88" s="15" t="s">
        <v>11</v>
      </c>
      <c r="E88" s="15" t="s">
        <v>1234</v>
      </c>
      <c r="F88" s="15" t="s">
        <v>1235</v>
      </c>
      <c r="G88" s="16" t="n">
        <v>3.9</v>
      </c>
      <c r="H88" s="17" t="n">
        <v>638</v>
      </c>
      <c r="I88" s="14" t="s">
        <v>61</v>
      </c>
      <c r="J88" s="14" t="s">
        <v>56</v>
      </c>
    </row>
    <row r="89" customFormat="false" ht="15" hidden="false" customHeight="false" outlineLevel="0" collapsed="false">
      <c r="A89" s="14" t="n">
        <v>88</v>
      </c>
      <c r="B89" s="15" t="s">
        <v>1232</v>
      </c>
      <c r="C89" s="15" t="s">
        <v>1236</v>
      </c>
      <c r="D89" s="15" t="s">
        <v>11</v>
      </c>
      <c r="E89" s="15" t="s">
        <v>1234</v>
      </c>
      <c r="F89" s="15" t="s">
        <v>1237</v>
      </c>
      <c r="G89" s="16" t="n">
        <v>3.8</v>
      </c>
      <c r="H89" s="17" t="n">
        <v>758</v>
      </c>
      <c r="I89" s="14" t="s">
        <v>55</v>
      </c>
      <c r="J89" s="14" t="s">
        <v>56</v>
      </c>
    </row>
    <row r="90" customFormat="false" ht="15" hidden="false" customHeight="false" outlineLevel="0" collapsed="false">
      <c r="A90" s="14" t="n">
        <v>89</v>
      </c>
      <c r="B90" s="15" t="s">
        <v>1232</v>
      </c>
      <c r="C90" s="15" t="s">
        <v>674</v>
      </c>
      <c r="D90" s="15" t="s">
        <v>12</v>
      </c>
      <c r="E90" s="15" t="s">
        <v>1234</v>
      </c>
      <c r="F90" s="15" t="s">
        <v>1238</v>
      </c>
      <c r="G90" s="16" t="n">
        <v>3.8</v>
      </c>
      <c r="H90" s="17" t="n">
        <v>1086</v>
      </c>
      <c r="I90" s="14" t="s">
        <v>55</v>
      </c>
      <c r="J90" s="14" t="s">
        <v>56</v>
      </c>
    </row>
    <row r="91" customFormat="false" ht="15" hidden="false" customHeight="false" outlineLevel="0" collapsed="false">
      <c r="A91" s="14" t="n">
        <v>90</v>
      </c>
      <c r="B91" s="15" t="s">
        <v>1239</v>
      </c>
      <c r="C91" s="15" t="s">
        <v>1240</v>
      </c>
      <c r="D91" s="15" t="s">
        <v>11</v>
      </c>
      <c r="E91" s="15" t="s">
        <v>1137</v>
      </c>
      <c r="F91" s="15" t="s">
        <v>1241</v>
      </c>
      <c r="G91" s="16" t="n">
        <v>4.4</v>
      </c>
      <c r="H91" s="17" t="n">
        <v>24</v>
      </c>
      <c r="I91" s="14" t="s">
        <v>55</v>
      </c>
      <c r="J91" s="14" t="s">
        <v>56</v>
      </c>
    </row>
    <row r="92" customFormat="false" ht="15" hidden="false" customHeight="false" outlineLevel="0" collapsed="false">
      <c r="A92" s="14" t="n">
        <v>91</v>
      </c>
      <c r="B92" s="15" t="s">
        <v>1239</v>
      </c>
      <c r="C92" s="15" t="s">
        <v>1192</v>
      </c>
      <c r="D92" s="15" t="s">
        <v>11</v>
      </c>
      <c r="E92" s="15" t="s">
        <v>1137</v>
      </c>
      <c r="F92" s="15" t="s">
        <v>1241</v>
      </c>
      <c r="G92" s="16" t="n">
        <v>4</v>
      </c>
      <c r="H92" s="17" t="n">
        <v>267</v>
      </c>
      <c r="I92" s="14" t="s">
        <v>55</v>
      </c>
      <c r="J92" s="14" t="s">
        <v>56</v>
      </c>
    </row>
    <row r="93" customFormat="false" ht="15" hidden="false" customHeight="false" outlineLevel="0" collapsed="false">
      <c r="A93" s="14" t="n">
        <v>92</v>
      </c>
      <c r="B93" s="15" t="s">
        <v>1239</v>
      </c>
      <c r="C93" s="15" t="s">
        <v>1242</v>
      </c>
      <c r="D93" s="15" t="s">
        <v>11</v>
      </c>
      <c r="E93" s="15" t="s">
        <v>1137</v>
      </c>
      <c r="F93" s="15" t="s">
        <v>1241</v>
      </c>
      <c r="G93" s="16" t="n">
        <v>4.4</v>
      </c>
      <c r="H93" s="17" t="n">
        <v>3284</v>
      </c>
      <c r="I93" s="14" t="s">
        <v>55</v>
      </c>
      <c r="J93" s="14" t="s">
        <v>56</v>
      </c>
    </row>
    <row r="94" customFormat="false" ht="15" hidden="false" customHeight="false" outlineLevel="0" collapsed="false">
      <c r="A94" s="14" t="n">
        <v>93</v>
      </c>
      <c r="B94" s="15" t="s">
        <v>1239</v>
      </c>
      <c r="C94" s="15" t="s">
        <v>1243</v>
      </c>
      <c r="D94" s="15" t="s">
        <v>11</v>
      </c>
      <c r="E94" s="15" t="s">
        <v>1137</v>
      </c>
      <c r="F94" s="15" t="s">
        <v>1241</v>
      </c>
      <c r="G94" s="16" t="n">
        <v>4.3</v>
      </c>
      <c r="H94" s="17" t="n">
        <v>1814</v>
      </c>
      <c r="I94" s="14" t="s">
        <v>55</v>
      </c>
      <c r="J94" s="14" t="s">
        <v>56</v>
      </c>
    </row>
    <row r="95" customFormat="false" ht="15" hidden="false" customHeight="false" outlineLevel="0" collapsed="false">
      <c r="A95" s="14" t="n">
        <v>94</v>
      </c>
      <c r="B95" s="15" t="s">
        <v>1239</v>
      </c>
      <c r="C95" s="15" t="s">
        <v>1244</v>
      </c>
      <c r="D95" s="15" t="s">
        <v>11</v>
      </c>
      <c r="E95" s="15" t="s">
        <v>1137</v>
      </c>
      <c r="F95" s="15" t="s">
        <v>1241</v>
      </c>
      <c r="G95" s="16" t="n">
        <v>4.2</v>
      </c>
      <c r="H95" s="17" t="n">
        <v>2197</v>
      </c>
      <c r="I95" s="14" t="s">
        <v>55</v>
      </c>
      <c r="J95" s="14" t="s">
        <v>56</v>
      </c>
    </row>
    <row r="96" customFormat="false" ht="15" hidden="false" customHeight="false" outlineLevel="0" collapsed="false">
      <c r="A96" s="14" t="n">
        <v>95</v>
      </c>
      <c r="B96" s="15" t="s">
        <v>1245</v>
      </c>
      <c r="C96" s="15" t="s">
        <v>1246</v>
      </c>
      <c r="D96" s="15" t="s">
        <v>11</v>
      </c>
      <c r="E96" s="15" t="s">
        <v>1247</v>
      </c>
      <c r="F96" s="15" t="s">
        <v>1248</v>
      </c>
      <c r="G96" s="16" t="n">
        <v>4.4</v>
      </c>
      <c r="H96" s="17" t="n">
        <v>3087</v>
      </c>
      <c r="I96" s="14" t="s">
        <v>61</v>
      </c>
      <c r="J96" s="14" t="s">
        <v>46</v>
      </c>
    </row>
    <row r="97" customFormat="false" ht="15" hidden="false" customHeight="false" outlineLevel="0" collapsed="false">
      <c r="A97" s="14" t="n">
        <v>96</v>
      </c>
      <c r="B97" s="15" t="s">
        <v>1245</v>
      </c>
      <c r="C97" s="15" t="s">
        <v>1249</v>
      </c>
      <c r="D97" s="15" t="s">
        <v>11</v>
      </c>
      <c r="E97" s="15" t="s">
        <v>1247</v>
      </c>
      <c r="F97" s="15" t="s">
        <v>1248</v>
      </c>
      <c r="G97" s="16" t="n">
        <v>4.5</v>
      </c>
      <c r="H97" s="17" t="n">
        <v>5178</v>
      </c>
      <c r="I97" s="14" t="s">
        <v>61</v>
      </c>
      <c r="J97" s="14" t="s">
        <v>46</v>
      </c>
    </row>
    <row r="98" customFormat="false" ht="15" hidden="false" customHeight="false" outlineLevel="0" collapsed="false">
      <c r="A98" s="14" t="n">
        <v>97</v>
      </c>
      <c r="B98" s="15" t="s">
        <v>1245</v>
      </c>
      <c r="C98" s="15" t="s">
        <v>1250</v>
      </c>
      <c r="D98" s="15" t="s">
        <v>11</v>
      </c>
      <c r="E98" s="15" t="s">
        <v>1247</v>
      </c>
      <c r="F98" s="15" t="s">
        <v>1248</v>
      </c>
      <c r="G98" s="16" t="n">
        <v>4.7</v>
      </c>
      <c r="H98" s="17" t="n">
        <v>5196</v>
      </c>
      <c r="I98" s="14" t="s">
        <v>61</v>
      </c>
      <c r="J98" s="14" t="s">
        <v>46</v>
      </c>
    </row>
    <row r="99" customFormat="false" ht="15" hidden="false" customHeight="false" outlineLevel="0" collapsed="false">
      <c r="A99" s="14" t="n">
        <v>98</v>
      </c>
      <c r="B99" s="15" t="s">
        <v>1245</v>
      </c>
      <c r="C99" s="15" t="s">
        <v>1251</v>
      </c>
      <c r="D99" s="15" t="s">
        <v>11</v>
      </c>
      <c r="E99" s="15" t="s">
        <v>1247</v>
      </c>
      <c r="F99" s="15" t="s">
        <v>1248</v>
      </c>
      <c r="G99" s="16" t="n">
        <v>4.9</v>
      </c>
      <c r="H99" s="17" t="n">
        <v>1233</v>
      </c>
      <c r="I99" s="14" t="s">
        <v>61</v>
      </c>
      <c r="J99" s="14" t="s">
        <v>46</v>
      </c>
    </row>
    <row r="100" customFormat="false" ht="15" hidden="false" customHeight="false" outlineLevel="0" collapsed="false">
      <c r="A100" s="14" t="n">
        <v>99</v>
      </c>
      <c r="B100" s="15" t="s">
        <v>1252</v>
      </c>
      <c r="C100" s="15" t="s">
        <v>1253</v>
      </c>
      <c r="D100" s="15" t="s">
        <v>11</v>
      </c>
      <c r="E100" s="15" t="s">
        <v>1254</v>
      </c>
      <c r="F100" s="15" t="s">
        <v>1255</v>
      </c>
      <c r="G100" s="16" t="n">
        <v>4.6</v>
      </c>
      <c r="H100" s="17" t="n">
        <v>5084</v>
      </c>
      <c r="I100" s="14" t="s">
        <v>55</v>
      </c>
      <c r="J100" s="14" t="s">
        <v>56</v>
      </c>
    </row>
    <row r="101" customFormat="false" ht="15" hidden="false" customHeight="false" outlineLevel="0" collapsed="false">
      <c r="A101" s="14" t="n">
        <v>100</v>
      </c>
      <c r="B101" s="15" t="s">
        <v>1252</v>
      </c>
      <c r="C101" s="15" t="s">
        <v>1256</v>
      </c>
      <c r="D101" s="15" t="s">
        <v>11</v>
      </c>
      <c r="E101" s="15" t="s">
        <v>1254</v>
      </c>
      <c r="F101" s="15" t="s">
        <v>1257</v>
      </c>
      <c r="G101" s="16" t="n">
        <v>4.6</v>
      </c>
      <c r="H101" s="17" t="n">
        <v>7131</v>
      </c>
      <c r="I101" s="14" t="s">
        <v>61</v>
      </c>
      <c r="J101" s="14" t="s">
        <v>56</v>
      </c>
    </row>
    <row r="102" customFormat="false" ht="15" hidden="false" customHeight="false" outlineLevel="0" collapsed="false">
      <c r="A102" s="14" t="n">
        <v>101</v>
      </c>
      <c r="B102" s="15" t="s">
        <v>1252</v>
      </c>
      <c r="C102" s="15" t="s">
        <v>1258</v>
      </c>
      <c r="D102" s="15" t="s">
        <v>12</v>
      </c>
      <c r="E102" s="15" t="s">
        <v>1254</v>
      </c>
      <c r="F102" s="15" t="s">
        <v>1255</v>
      </c>
      <c r="G102" s="16" t="n">
        <v>4.7</v>
      </c>
      <c r="H102" s="17" t="n">
        <v>2117</v>
      </c>
      <c r="I102" s="14" t="s">
        <v>55</v>
      </c>
      <c r="J102" s="14" t="s">
        <v>46</v>
      </c>
    </row>
    <row r="103" customFormat="false" ht="15" hidden="false" customHeight="false" outlineLevel="0" collapsed="false">
      <c r="A103" s="14" t="n">
        <v>102</v>
      </c>
      <c r="B103" s="15" t="s">
        <v>1259</v>
      </c>
      <c r="C103" s="15" t="s">
        <v>1260</v>
      </c>
      <c r="D103" s="15" t="s">
        <v>11</v>
      </c>
      <c r="E103" s="15" t="s">
        <v>1171</v>
      </c>
      <c r="F103" s="15" t="s">
        <v>1261</v>
      </c>
      <c r="G103" s="16" t="n">
        <v>4.1</v>
      </c>
      <c r="H103" s="17" t="n">
        <v>591</v>
      </c>
      <c r="I103" s="14" t="s">
        <v>61</v>
      </c>
      <c r="J103" s="14" t="s">
        <v>46</v>
      </c>
    </row>
    <row r="104" customFormat="false" ht="15" hidden="false" customHeight="false" outlineLevel="0" collapsed="false">
      <c r="A104" s="14" t="n">
        <v>103</v>
      </c>
      <c r="B104" s="15" t="s">
        <v>1259</v>
      </c>
      <c r="C104" s="15" t="s">
        <v>1262</v>
      </c>
      <c r="D104" s="15" t="s">
        <v>11</v>
      </c>
      <c r="E104" s="15" t="s">
        <v>1171</v>
      </c>
      <c r="F104" s="15" t="s">
        <v>1261</v>
      </c>
      <c r="G104" s="16" t="n">
        <v>4</v>
      </c>
      <c r="H104" s="17" t="n">
        <v>1156</v>
      </c>
      <c r="I104" s="14" t="s">
        <v>61</v>
      </c>
      <c r="J104" s="14" t="s">
        <v>46</v>
      </c>
    </row>
    <row r="105" customFormat="false" ht="15" hidden="false" customHeight="false" outlineLevel="0" collapsed="false">
      <c r="A105" s="14" t="n">
        <v>104</v>
      </c>
      <c r="B105" s="15" t="s">
        <v>1259</v>
      </c>
      <c r="C105" s="15" t="s">
        <v>1263</v>
      </c>
      <c r="D105" s="15" t="s">
        <v>11</v>
      </c>
      <c r="E105" s="15" t="s">
        <v>1171</v>
      </c>
      <c r="F105" s="15" t="s">
        <v>1261</v>
      </c>
      <c r="G105" s="16" t="n">
        <v>4.3</v>
      </c>
      <c r="H105" s="17" t="n">
        <v>127</v>
      </c>
      <c r="I105" s="14" t="s">
        <v>61</v>
      </c>
      <c r="J105" s="14" t="s">
        <v>46</v>
      </c>
    </row>
    <row r="106" customFormat="false" ht="15" hidden="false" customHeight="false" outlineLevel="0" collapsed="false">
      <c r="A106" s="14" t="n">
        <v>105</v>
      </c>
      <c r="B106" s="15" t="s">
        <v>1259</v>
      </c>
      <c r="C106" s="15" t="s">
        <v>416</v>
      </c>
      <c r="D106" s="15" t="s">
        <v>11</v>
      </c>
      <c r="E106" s="15" t="s">
        <v>1171</v>
      </c>
      <c r="F106" s="15" t="s">
        <v>1261</v>
      </c>
      <c r="G106" s="16" t="n">
        <v>4</v>
      </c>
      <c r="H106" s="17" t="n">
        <v>1013</v>
      </c>
      <c r="I106" s="14" t="s">
        <v>61</v>
      </c>
      <c r="J106" s="14" t="s">
        <v>46</v>
      </c>
    </row>
    <row r="107" customFormat="false" ht="15" hidden="false" customHeight="false" outlineLevel="0" collapsed="false">
      <c r="A107" s="14" t="n">
        <v>106</v>
      </c>
      <c r="B107" s="15" t="s">
        <v>1259</v>
      </c>
      <c r="C107" s="15" t="s">
        <v>1264</v>
      </c>
      <c r="D107" s="15" t="s">
        <v>12</v>
      </c>
      <c r="E107" s="15" t="s">
        <v>1171</v>
      </c>
      <c r="F107" s="15" t="s">
        <v>1261</v>
      </c>
      <c r="G107" s="16" t="n">
        <v>4.5</v>
      </c>
      <c r="H107" s="17" t="n">
        <v>720</v>
      </c>
      <c r="I107" s="14" t="s">
        <v>61</v>
      </c>
      <c r="J107" s="14" t="s">
        <v>46</v>
      </c>
    </row>
    <row r="108" customFormat="false" ht="15" hidden="false" customHeight="false" outlineLevel="0" collapsed="false">
      <c r="A108" s="14" t="n">
        <v>107</v>
      </c>
      <c r="B108" s="15" t="s">
        <v>1265</v>
      </c>
      <c r="C108" s="15" t="s">
        <v>1233</v>
      </c>
      <c r="D108" s="15" t="s">
        <v>11</v>
      </c>
      <c r="E108" s="15" t="s">
        <v>1171</v>
      </c>
      <c r="F108" s="15" t="s">
        <v>1266</v>
      </c>
      <c r="G108" s="16" t="n">
        <v>4.4</v>
      </c>
      <c r="H108" s="17" t="n">
        <v>5476</v>
      </c>
      <c r="I108" s="14" t="s">
        <v>61</v>
      </c>
      <c r="J108" s="14" t="s">
        <v>56</v>
      </c>
    </row>
    <row r="109" customFormat="false" ht="15" hidden="false" customHeight="false" outlineLevel="0" collapsed="false">
      <c r="A109" s="14" t="n">
        <v>108</v>
      </c>
      <c r="B109" s="15" t="s">
        <v>1265</v>
      </c>
      <c r="C109" s="15" t="s">
        <v>1267</v>
      </c>
      <c r="D109" s="15" t="s">
        <v>11</v>
      </c>
      <c r="E109" s="15" t="s">
        <v>1171</v>
      </c>
      <c r="F109" s="15" t="s">
        <v>1266</v>
      </c>
      <c r="G109" s="16" t="n">
        <v>4.4</v>
      </c>
      <c r="H109" s="17" t="n">
        <v>2625</v>
      </c>
      <c r="I109" s="14" t="s">
        <v>61</v>
      </c>
      <c r="J109" s="14" t="s">
        <v>46</v>
      </c>
    </row>
    <row r="110" customFormat="false" ht="15" hidden="false" customHeight="false" outlineLevel="0" collapsed="false">
      <c r="A110" s="14" t="n">
        <v>109</v>
      </c>
      <c r="B110" s="15" t="s">
        <v>1265</v>
      </c>
      <c r="C110" s="15" t="s">
        <v>1268</v>
      </c>
      <c r="D110" s="15" t="s">
        <v>11</v>
      </c>
      <c r="E110" s="15" t="s">
        <v>1171</v>
      </c>
      <c r="F110" s="15" t="s">
        <v>1266</v>
      </c>
      <c r="G110" s="16" t="n">
        <v>4.4</v>
      </c>
      <c r="H110" s="17" t="n">
        <v>2567</v>
      </c>
      <c r="I110" s="14" t="s">
        <v>61</v>
      </c>
      <c r="J110" s="14" t="s">
        <v>46</v>
      </c>
    </row>
    <row r="111" customFormat="false" ht="15" hidden="false" customHeight="false" outlineLevel="0" collapsed="false">
      <c r="A111" s="14" t="n">
        <v>110</v>
      </c>
      <c r="B111" s="15" t="s">
        <v>1265</v>
      </c>
      <c r="C111" s="15" t="s">
        <v>1269</v>
      </c>
      <c r="D111" s="15" t="s">
        <v>11</v>
      </c>
      <c r="E111" s="15" t="s">
        <v>1171</v>
      </c>
      <c r="F111" s="15" t="s">
        <v>1266</v>
      </c>
      <c r="G111" s="16" t="n">
        <v>4.7</v>
      </c>
      <c r="H111" s="17" t="n">
        <v>510</v>
      </c>
      <c r="I111" s="14" t="s">
        <v>61</v>
      </c>
      <c r="J111" s="14" t="s">
        <v>56</v>
      </c>
    </row>
    <row r="112" customFormat="false" ht="15" hidden="false" customHeight="false" outlineLevel="0" collapsed="false">
      <c r="A112" s="14" t="n">
        <v>111</v>
      </c>
      <c r="B112" s="15" t="s">
        <v>1265</v>
      </c>
      <c r="C112" s="15" t="s">
        <v>1270</v>
      </c>
      <c r="D112" s="15" t="s">
        <v>11</v>
      </c>
      <c r="E112" s="15" t="s">
        <v>1171</v>
      </c>
      <c r="F112" s="15" t="s">
        <v>1266</v>
      </c>
      <c r="G112" s="16" t="n">
        <v>4.4</v>
      </c>
      <c r="H112" s="17" t="n">
        <v>4813</v>
      </c>
      <c r="I112" s="14" t="s">
        <v>61</v>
      </c>
      <c r="J112" s="14" t="s">
        <v>46</v>
      </c>
    </row>
    <row r="113" customFormat="false" ht="15" hidden="false" customHeight="false" outlineLevel="0" collapsed="false">
      <c r="A113" s="14" t="n">
        <v>112</v>
      </c>
      <c r="B113" s="15" t="s">
        <v>1271</v>
      </c>
      <c r="C113" s="15" t="s">
        <v>1272</v>
      </c>
      <c r="D113" s="15" t="s">
        <v>11</v>
      </c>
      <c r="E113" s="15" t="s">
        <v>1094</v>
      </c>
      <c r="F113" s="15" t="s">
        <v>1273</v>
      </c>
      <c r="G113" s="16" t="n">
        <v>4.1</v>
      </c>
      <c r="H113" s="17" t="n">
        <v>948</v>
      </c>
      <c r="I113" s="14" t="s">
        <v>55</v>
      </c>
      <c r="J113" s="14" t="s">
        <v>46</v>
      </c>
    </row>
    <row r="114" customFormat="false" ht="15" hidden="false" customHeight="false" outlineLevel="0" collapsed="false">
      <c r="A114" s="14" t="n">
        <v>113</v>
      </c>
      <c r="B114" s="15" t="s">
        <v>1271</v>
      </c>
      <c r="C114" s="15" t="s">
        <v>1274</v>
      </c>
      <c r="D114" s="15" t="s">
        <v>11</v>
      </c>
      <c r="E114" s="15" t="s">
        <v>1094</v>
      </c>
      <c r="F114" s="15" t="s">
        <v>1273</v>
      </c>
      <c r="G114" s="16" t="n">
        <v>4.4</v>
      </c>
      <c r="H114" s="17" t="n">
        <v>1043</v>
      </c>
      <c r="I114" s="14" t="s">
        <v>61</v>
      </c>
      <c r="J114" s="14" t="s">
        <v>46</v>
      </c>
    </row>
    <row r="115" customFormat="false" ht="15" hidden="false" customHeight="false" outlineLevel="0" collapsed="false">
      <c r="A115" s="14" t="n">
        <v>114</v>
      </c>
      <c r="B115" s="15" t="s">
        <v>1271</v>
      </c>
      <c r="C115" s="15" t="s">
        <v>1275</v>
      </c>
      <c r="D115" s="15" t="s">
        <v>11</v>
      </c>
      <c r="E115" s="15" t="s">
        <v>1094</v>
      </c>
      <c r="F115" s="15" t="s">
        <v>1273</v>
      </c>
      <c r="G115" s="16" t="n">
        <v>4.1</v>
      </c>
      <c r="H115" s="17" t="n">
        <v>1248</v>
      </c>
      <c r="I115" s="14" t="s">
        <v>55</v>
      </c>
      <c r="J115" s="14" t="s">
        <v>56</v>
      </c>
    </row>
    <row r="116" customFormat="false" ht="15" hidden="false" customHeight="false" outlineLevel="0" collapsed="false">
      <c r="A116" s="14" t="n">
        <v>115</v>
      </c>
      <c r="B116" s="15" t="s">
        <v>1271</v>
      </c>
      <c r="C116" s="15" t="s">
        <v>1276</v>
      </c>
      <c r="D116" s="15" t="s">
        <v>11</v>
      </c>
      <c r="E116" s="15" t="s">
        <v>1094</v>
      </c>
      <c r="F116" s="15" t="s">
        <v>1273</v>
      </c>
      <c r="G116" s="16" t="n">
        <v>4.6</v>
      </c>
      <c r="H116" s="17" t="n">
        <v>667</v>
      </c>
      <c r="I116" s="14" t="s">
        <v>61</v>
      </c>
      <c r="J116" s="14" t="s">
        <v>46</v>
      </c>
    </row>
    <row r="117" customFormat="false" ht="15" hidden="false" customHeight="false" outlineLevel="0" collapsed="false">
      <c r="A117" s="14" t="n">
        <v>116</v>
      </c>
      <c r="B117" s="15" t="s">
        <v>1271</v>
      </c>
      <c r="C117" s="15" t="s">
        <v>1277</v>
      </c>
      <c r="D117" s="15" t="s">
        <v>12</v>
      </c>
      <c r="E117" s="15" t="s">
        <v>1094</v>
      </c>
      <c r="F117" s="15" t="s">
        <v>1273</v>
      </c>
      <c r="G117" s="16" t="n">
        <v>3.9</v>
      </c>
      <c r="H117" s="17" t="n">
        <v>684</v>
      </c>
      <c r="I117" s="14" t="s">
        <v>55</v>
      </c>
      <c r="J117" s="14" t="s">
        <v>56</v>
      </c>
    </row>
    <row r="118" customFormat="false" ht="15" hidden="false" customHeight="false" outlineLevel="0" collapsed="false">
      <c r="A118" s="14" t="n">
        <v>117</v>
      </c>
      <c r="B118" s="15" t="s">
        <v>1278</v>
      </c>
      <c r="C118" s="15" t="s">
        <v>1268</v>
      </c>
      <c r="D118" s="15" t="s">
        <v>11</v>
      </c>
      <c r="E118" s="15" t="s">
        <v>1210</v>
      </c>
      <c r="F118" s="15" t="s">
        <v>1279</v>
      </c>
      <c r="G118" s="16" t="n">
        <v>3.1</v>
      </c>
      <c r="H118" s="17" t="n">
        <v>36</v>
      </c>
      <c r="I118" s="14" t="s">
        <v>61</v>
      </c>
      <c r="J118" s="14" t="s">
        <v>46</v>
      </c>
    </row>
    <row r="119" customFormat="false" ht="15" hidden="false" customHeight="false" outlineLevel="0" collapsed="false">
      <c r="A119" s="14" t="n">
        <v>118</v>
      </c>
      <c r="B119" s="15" t="s">
        <v>1280</v>
      </c>
      <c r="C119" s="15" t="s">
        <v>139</v>
      </c>
      <c r="D119" s="15" t="s">
        <v>11</v>
      </c>
      <c r="E119" s="15" t="s">
        <v>1210</v>
      </c>
      <c r="F119" s="15" t="s">
        <v>1279</v>
      </c>
      <c r="G119" s="16" t="n">
        <v>3.8</v>
      </c>
      <c r="H119" s="17" t="n">
        <v>3870</v>
      </c>
      <c r="I119" s="14" t="s">
        <v>55</v>
      </c>
      <c r="J119" s="14" t="s">
        <v>46</v>
      </c>
    </row>
    <row r="120" customFormat="false" ht="15" hidden="false" customHeight="false" outlineLevel="0" collapsed="false">
      <c r="A120" s="14" t="n">
        <v>119</v>
      </c>
      <c r="B120" s="15" t="s">
        <v>1280</v>
      </c>
      <c r="C120" s="15" t="s">
        <v>177</v>
      </c>
      <c r="D120" s="15" t="s">
        <v>11</v>
      </c>
      <c r="E120" s="15" t="s">
        <v>1210</v>
      </c>
      <c r="F120" s="15" t="s">
        <v>1281</v>
      </c>
      <c r="G120" s="16" t="n">
        <v>4</v>
      </c>
      <c r="H120" s="17" t="n">
        <v>7100</v>
      </c>
      <c r="I120" s="14" t="s">
        <v>55</v>
      </c>
      <c r="J120" s="14" t="s">
        <v>46</v>
      </c>
    </row>
    <row r="121" customFormat="false" ht="15" hidden="false" customHeight="false" outlineLevel="0" collapsed="false">
      <c r="A121" s="14" t="n">
        <v>120</v>
      </c>
      <c r="B121" s="15" t="s">
        <v>1280</v>
      </c>
      <c r="C121" s="15" t="s">
        <v>912</v>
      </c>
      <c r="D121" s="15" t="s">
        <v>13</v>
      </c>
      <c r="E121" s="15" t="s">
        <v>1210</v>
      </c>
      <c r="F121" s="15" t="s">
        <v>1282</v>
      </c>
      <c r="G121" s="16" t="n">
        <v>4.1</v>
      </c>
      <c r="H121" s="17" t="n">
        <v>588</v>
      </c>
      <c r="I121" s="14" t="s">
        <v>55</v>
      </c>
      <c r="J121" s="14" t="s">
        <v>46</v>
      </c>
    </row>
    <row r="122" customFormat="false" ht="15" hidden="false" customHeight="false" outlineLevel="0" collapsed="false">
      <c r="A122" s="14" t="n">
        <v>121</v>
      </c>
      <c r="B122" s="15" t="s">
        <v>1283</v>
      </c>
      <c r="C122" s="15" t="s">
        <v>89</v>
      </c>
      <c r="D122" s="15" t="s">
        <v>11</v>
      </c>
      <c r="E122" s="15" t="s">
        <v>1284</v>
      </c>
      <c r="F122" s="15" t="s">
        <v>1285</v>
      </c>
      <c r="G122" s="16" t="n">
        <v>4.1</v>
      </c>
      <c r="H122" s="17" t="n">
        <v>4416</v>
      </c>
      <c r="I122" s="14" t="s">
        <v>55</v>
      </c>
      <c r="J122" s="14" t="s">
        <v>46</v>
      </c>
    </row>
    <row r="123" customFormat="false" ht="15" hidden="false" customHeight="false" outlineLevel="0" collapsed="false">
      <c r="A123" s="14" t="n">
        <v>122</v>
      </c>
      <c r="B123" s="15" t="s">
        <v>1286</v>
      </c>
      <c r="C123" s="15" t="s">
        <v>1287</v>
      </c>
      <c r="D123" s="15" t="s">
        <v>11</v>
      </c>
      <c r="E123" s="15" t="s">
        <v>1182</v>
      </c>
      <c r="F123" s="15" t="s">
        <v>1288</v>
      </c>
      <c r="G123" s="16" t="n">
        <v>4.7</v>
      </c>
      <c r="H123" s="17" t="n">
        <v>2661</v>
      </c>
      <c r="I123" s="14" t="s">
        <v>127</v>
      </c>
      <c r="J123" s="14" t="s">
        <v>56</v>
      </c>
    </row>
    <row r="124" customFormat="false" ht="15" hidden="false" customHeight="false" outlineLevel="0" collapsed="false">
      <c r="A124" s="14" t="n">
        <v>123</v>
      </c>
      <c r="B124" s="15" t="s">
        <v>1286</v>
      </c>
      <c r="C124" s="15" t="s">
        <v>1289</v>
      </c>
      <c r="D124" s="15" t="s">
        <v>11</v>
      </c>
      <c r="E124" s="15" t="s">
        <v>1182</v>
      </c>
      <c r="F124" s="15" t="s">
        <v>1290</v>
      </c>
      <c r="G124" s="16" t="n">
        <v>4.2</v>
      </c>
      <c r="H124" s="17" t="n">
        <v>6842</v>
      </c>
      <c r="I124" s="14" t="s">
        <v>127</v>
      </c>
      <c r="J124" s="14" t="s">
        <v>56</v>
      </c>
    </row>
    <row r="125" customFormat="false" ht="15" hidden="false" customHeight="false" outlineLevel="0" collapsed="false">
      <c r="A125" s="14" t="n">
        <v>124</v>
      </c>
      <c r="B125" s="15" t="s">
        <v>1286</v>
      </c>
      <c r="C125" s="15" t="s">
        <v>1291</v>
      </c>
      <c r="D125" s="15" t="s">
        <v>11</v>
      </c>
      <c r="E125" s="15" t="s">
        <v>1182</v>
      </c>
      <c r="F125" s="15" t="s">
        <v>1292</v>
      </c>
      <c r="G125" s="16" t="n">
        <v>4</v>
      </c>
      <c r="H125" s="17" t="n">
        <v>579</v>
      </c>
      <c r="I125" s="14" t="s">
        <v>127</v>
      </c>
      <c r="J125" s="14" t="s">
        <v>56</v>
      </c>
    </row>
    <row r="126" customFormat="false" ht="15" hidden="false" customHeight="false" outlineLevel="0" collapsed="false">
      <c r="A126" s="14" t="n">
        <v>125</v>
      </c>
      <c r="B126" s="15" t="s">
        <v>1286</v>
      </c>
      <c r="C126" s="15" t="s">
        <v>1178</v>
      </c>
      <c r="D126" s="15" t="s">
        <v>11</v>
      </c>
      <c r="E126" s="15" t="s">
        <v>1182</v>
      </c>
      <c r="F126" s="15" t="s">
        <v>1293</v>
      </c>
      <c r="G126" s="16" t="n">
        <v>4.4</v>
      </c>
      <c r="H126" s="17" t="n">
        <v>3822</v>
      </c>
      <c r="I126" s="14" t="s">
        <v>127</v>
      </c>
      <c r="J126" s="14" t="s">
        <v>56</v>
      </c>
    </row>
    <row r="127" customFormat="false" ht="15" hidden="false" customHeight="false" outlineLevel="0" collapsed="false">
      <c r="A127" s="14" t="n">
        <v>126</v>
      </c>
      <c r="B127" s="15" t="s">
        <v>1294</v>
      </c>
      <c r="C127" s="15" t="s">
        <v>1295</v>
      </c>
      <c r="D127" s="15" t="s">
        <v>11</v>
      </c>
      <c r="E127" s="15" t="s">
        <v>1163</v>
      </c>
      <c r="F127" s="15" t="s">
        <v>1296</v>
      </c>
      <c r="G127" s="16" t="n">
        <v>4.5</v>
      </c>
      <c r="H127" s="17" t="n">
        <v>813</v>
      </c>
      <c r="I127" s="14" t="s">
        <v>55</v>
      </c>
      <c r="J127" s="14" t="s">
        <v>56</v>
      </c>
    </row>
    <row r="128" customFormat="false" ht="15" hidden="false" customHeight="false" outlineLevel="0" collapsed="false">
      <c r="A128" s="14" t="n">
        <v>127</v>
      </c>
      <c r="B128" s="15" t="s">
        <v>1294</v>
      </c>
      <c r="C128" s="15" t="s">
        <v>1297</v>
      </c>
      <c r="D128" s="15" t="s">
        <v>11</v>
      </c>
      <c r="E128" s="15" t="s">
        <v>1163</v>
      </c>
      <c r="F128" s="15" t="s">
        <v>1298</v>
      </c>
      <c r="G128" s="16" t="n">
        <v>4.3</v>
      </c>
      <c r="H128" s="17" t="n">
        <v>39</v>
      </c>
      <c r="I128" s="14" t="s">
        <v>55</v>
      </c>
      <c r="J128" s="14" t="s">
        <v>56</v>
      </c>
    </row>
    <row r="129" customFormat="false" ht="15" hidden="false" customHeight="false" outlineLevel="0" collapsed="false">
      <c r="A129" s="14" t="n">
        <v>128</v>
      </c>
      <c r="B129" s="15" t="s">
        <v>1294</v>
      </c>
      <c r="C129" s="15" t="s">
        <v>1299</v>
      </c>
      <c r="D129" s="15" t="s">
        <v>11</v>
      </c>
      <c r="E129" s="15" t="s">
        <v>1163</v>
      </c>
      <c r="F129" s="15" t="s">
        <v>1300</v>
      </c>
      <c r="G129" s="16" t="n">
        <v>4.7</v>
      </c>
      <c r="H129" s="17" t="n">
        <v>64</v>
      </c>
      <c r="I129" s="14" t="s">
        <v>61</v>
      </c>
      <c r="J129" s="14" t="s">
        <v>56</v>
      </c>
    </row>
    <row r="130" customFormat="false" ht="15" hidden="false" customHeight="false" outlineLevel="0" collapsed="false">
      <c r="A130" s="14" t="n">
        <v>129</v>
      </c>
      <c r="B130" s="15" t="s">
        <v>1301</v>
      </c>
      <c r="C130" s="15" t="s">
        <v>1302</v>
      </c>
      <c r="D130" s="15" t="s">
        <v>11</v>
      </c>
      <c r="E130" s="15" t="s">
        <v>1303</v>
      </c>
      <c r="F130" s="15" t="s">
        <v>1304</v>
      </c>
      <c r="G130" s="16" t="n">
        <v>4.1</v>
      </c>
      <c r="H130" s="17" t="n">
        <v>799</v>
      </c>
      <c r="I130" s="14" t="s">
        <v>61</v>
      </c>
      <c r="J130" s="14" t="s">
        <v>56</v>
      </c>
    </row>
    <row r="131" customFormat="false" ht="15" hidden="false" customHeight="false" outlineLevel="0" collapsed="false">
      <c r="A131" s="14" t="n">
        <v>130</v>
      </c>
      <c r="B131" s="15" t="s">
        <v>1301</v>
      </c>
      <c r="C131" s="15" t="s">
        <v>1305</v>
      </c>
      <c r="D131" s="15" t="s">
        <v>11</v>
      </c>
      <c r="E131" s="15" t="s">
        <v>1303</v>
      </c>
      <c r="F131" s="15" t="s">
        <v>1306</v>
      </c>
      <c r="G131" s="16" t="n">
        <v>4.1</v>
      </c>
      <c r="H131" s="17" t="n">
        <v>630</v>
      </c>
      <c r="I131" s="14" t="s">
        <v>55</v>
      </c>
      <c r="J131" s="14" t="s">
        <v>56</v>
      </c>
    </row>
    <row r="132" customFormat="false" ht="15" hidden="false" customHeight="false" outlineLevel="0" collapsed="false">
      <c r="A132" s="14" t="n">
        <v>131</v>
      </c>
      <c r="B132" s="15" t="s">
        <v>1301</v>
      </c>
      <c r="C132" s="15" t="s">
        <v>1307</v>
      </c>
      <c r="D132" s="15" t="s">
        <v>11</v>
      </c>
      <c r="E132" s="15" t="s">
        <v>1303</v>
      </c>
      <c r="F132" s="15" t="s">
        <v>1308</v>
      </c>
      <c r="G132" s="16" t="n">
        <v>4.1</v>
      </c>
      <c r="H132" s="17" t="n">
        <v>240</v>
      </c>
      <c r="I132" s="14" t="s">
        <v>55</v>
      </c>
      <c r="J132" s="14" t="s">
        <v>56</v>
      </c>
    </row>
    <row r="133" customFormat="false" ht="15" hidden="false" customHeight="false" outlineLevel="0" collapsed="false">
      <c r="A133" s="14" t="n">
        <v>132</v>
      </c>
      <c r="B133" s="15" t="s">
        <v>1301</v>
      </c>
      <c r="C133" s="15" t="s">
        <v>1309</v>
      </c>
      <c r="D133" s="15" t="s">
        <v>11</v>
      </c>
      <c r="E133" s="15" t="s">
        <v>1303</v>
      </c>
      <c r="F133" s="15" t="s">
        <v>1310</v>
      </c>
      <c r="G133" s="16" t="n">
        <v>4.2</v>
      </c>
      <c r="H133" s="17" t="n">
        <v>359</v>
      </c>
      <c r="I133" s="14" t="s">
        <v>55</v>
      </c>
      <c r="J133" s="14" t="s">
        <v>56</v>
      </c>
    </row>
    <row r="134" customFormat="false" ht="15" hidden="false" customHeight="false" outlineLevel="0" collapsed="false">
      <c r="A134" s="14" t="n">
        <v>133</v>
      </c>
      <c r="B134" s="15" t="s">
        <v>1301</v>
      </c>
      <c r="C134" s="15" t="s">
        <v>1311</v>
      </c>
      <c r="D134" s="15" t="s">
        <v>11</v>
      </c>
      <c r="E134" s="15" t="s">
        <v>1303</v>
      </c>
      <c r="F134" s="15" t="s">
        <v>1312</v>
      </c>
      <c r="G134" s="16" t="n">
        <v>4.9</v>
      </c>
      <c r="H134" s="17" t="n">
        <v>97</v>
      </c>
      <c r="I134" s="14" t="s">
        <v>55</v>
      </c>
      <c r="J134" s="14" t="s">
        <v>56</v>
      </c>
    </row>
    <row r="135" customFormat="false" ht="15" hidden="false" customHeight="false" outlineLevel="0" collapsed="false">
      <c r="A135" s="14" t="n">
        <v>134</v>
      </c>
      <c r="B135" s="15" t="s">
        <v>1313</v>
      </c>
      <c r="C135" s="15" t="s">
        <v>1314</v>
      </c>
      <c r="D135" s="15" t="s">
        <v>11</v>
      </c>
      <c r="E135" s="15" t="s">
        <v>1094</v>
      </c>
      <c r="F135" s="15" t="s">
        <v>1138</v>
      </c>
      <c r="G135" s="16" t="n">
        <v>4.1</v>
      </c>
      <c r="H135" s="17" t="n">
        <v>1451</v>
      </c>
      <c r="I135" s="14" t="s">
        <v>55</v>
      </c>
      <c r="J135" s="14" t="s">
        <v>56</v>
      </c>
    </row>
    <row r="136" customFormat="false" ht="15" hidden="false" customHeight="false" outlineLevel="0" collapsed="false">
      <c r="A136" s="14" t="n">
        <v>135</v>
      </c>
      <c r="B136" s="15" t="s">
        <v>1313</v>
      </c>
      <c r="C136" s="15" t="s">
        <v>1315</v>
      </c>
      <c r="D136" s="15" t="s">
        <v>11</v>
      </c>
      <c r="E136" s="15" t="s">
        <v>1094</v>
      </c>
      <c r="F136" s="15" t="s">
        <v>1138</v>
      </c>
      <c r="G136" s="16" t="n">
        <v>4.5</v>
      </c>
      <c r="H136" s="17" t="n">
        <v>365</v>
      </c>
      <c r="I136" s="14" t="s">
        <v>55</v>
      </c>
      <c r="J136" s="14" t="s">
        <v>46</v>
      </c>
    </row>
    <row r="137" customFormat="false" ht="15" hidden="false" customHeight="false" outlineLevel="0" collapsed="false">
      <c r="A137" s="14" t="n">
        <v>136</v>
      </c>
      <c r="B137" s="15" t="s">
        <v>1313</v>
      </c>
      <c r="C137" s="15" t="s">
        <v>1316</v>
      </c>
      <c r="D137" s="15" t="s">
        <v>11</v>
      </c>
      <c r="E137" s="15" t="s">
        <v>1094</v>
      </c>
      <c r="F137" s="15" t="s">
        <v>1138</v>
      </c>
      <c r="G137" s="16" t="n">
        <v>4.8</v>
      </c>
      <c r="H137" s="17" t="n">
        <v>902</v>
      </c>
      <c r="I137" s="14" t="s">
        <v>61</v>
      </c>
      <c r="J137" s="14" t="s">
        <v>46</v>
      </c>
    </row>
    <row r="138" customFormat="false" ht="15" hidden="false" customHeight="false" outlineLevel="0" collapsed="false">
      <c r="A138" s="14" t="n">
        <v>137</v>
      </c>
      <c r="B138" s="15" t="s">
        <v>1313</v>
      </c>
      <c r="C138" s="15" t="s">
        <v>1317</v>
      </c>
      <c r="D138" s="15" t="s">
        <v>11</v>
      </c>
      <c r="E138" s="15" t="s">
        <v>1094</v>
      </c>
      <c r="F138" s="15" t="s">
        <v>1138</v>
      </c>
      <c r="G138" s="16" t="n">
        <v>4.6</v>
      </c>
      <c r="H138" s="17" t="n">
        <v>37</v>
      </c>
      <c r="I138" s="14" t="s">
        <v>55</v>
      </c>
      <c r="J138" s="14" t="s">
        <v>46</v>
      </c>
    </row>
    <row r="139" customFormat="false" ht="15" hidden="false" customHeight="false" outlineLevel="0" collapsed="false">
      <c r="A139" s="14" t="n">
        <v>138</v>
      </c>
      <c r="B139" s="15" t="s">
        <v>1313</v>
      </c>
      <c r="C139" s="15" t="s">
        <v>1318</v>
      </c>
      <c r="D139" s="15" t="s">
        <v>13</v>
      </c>
      <c r="E139" s="15" t="s">
        <v>1094</v>
      </c>
      <c r="F139" s="15" t="s">
        <v>1138</v>
      </c>
      <c r="G139" s="16" t="n">
        <v>4.4</v>
      </c>
      <c r="H139" s="17" t="n">
        <v>434</v>
      </c>
      <c r="I139" s="14" t="s">
        <v>55</v>
      </c>
      <c r="J139" s="14" t="s">
        <v>46</v>
      </c>
    </row>
    <row r="140" customFormat="false" ht="15" hidden="false" customHeight="false" outlineLevel="0" collapsed="false">
      <c r="A140" s="14" t="n">
        <v>139</v>
      </c>
      <c r="B140" s="15" t="s">
        <v>1319</v>
      </c>
      <c r="C140" s="15" t="s">
        <v>323</v>
      </c>
      <c r="D140" s="15" t="s">
        <v>11</v>
      </c>
      <c r="E140" s="15" t="s">
        <v>1149</v>
      </c>
      <c r="F140" s="15" t="s">
        <v>1320</v>
      </c>
      <c r="G140" s="16" t="n">
        <v>4.5</v>
      </c>
      <c r="H140" s="17" t="n">
        <v>5970</v>
      </c>
      <c r="I140" s="14" t="s">
        <v>61</v>
      </c>
      <c r="J140" s="14" t="s">
        <v>46</v>
      </c>
    </row>
    <row r="141" customFormat="false" ht="15" hidden="false" customHeight="false" outlineLevel="0" collapsed="false">
      <c r="A141" s="14" t="n">
        <v>140</v>
      </c>
      <c r="B141" s="15" t="s">
        <v>1319</v>
      </c>
      <c r="C141" s="15" t="s">
        <v>1178</v>
      </c>
      <c r="D141" s="15" t="s">
        <v>11</v>
      </c>
      <c r="E141" s="15" t="s">
        <v>1149</v>
      </c>
      <c r="F141" s="15" t="s">
        <v>1321</v>
      </c>
      <c r="G141" s="16" t="n">
        <v>4.5</v>
      </c>
      <c r="H141" s="17" t="n">
        <v>14956</v>
      </c>
      <c r="I141" s="14" t="s">
        <v>127</v>
      </c>
      <c r="J141" s="14" t="s">
        <v>56</v>
      </c>
    </row>
    <row r="142" customFormat="false" ht="15" hidden="false" customHeight="false" outlineLevel="0" collapsed="false">
      <c r="A142" s="14" t="n">
        <v>141</v>
      </c>
      <c r="B142" s="15" t="s">
        <v>1319</v>
      </c>
      <c r="C142" s="15" t="s">
        <v>607</v>
      </c>
      <c r="D142" s="15" t="s">
        <v>11</v>
      </c>
      <c r="E142" s="15" t="s">
        <v>1149</v>
      </c>
      <c r="F142" s="15" t="s">
        <v>1322</v>
      </c>
      <c r="G142" s="16" t="n">
        <v>4.5</v>
      </c>
      <c r="H142" s="17" t="n">
        <v>14385</v>
      </c>
      <c r="I142" s="14" t="s">
        <v>127</v>
      </c>
      <c r="J142" s="14" t="s">
        <v>46</v>
      </c>
    </row>
    <row r="143" customFormat="false" ht="15" hidden="false" customHeight="false" outlineLevel="0" collapsed="false">
      <c r="A143" s="14" t="n">
        <v>142</v>
      </c>
      <c r="B143" s="15" t="s">
        <v>1323</v>
      </c>
      <c r="C143" s="15" t="s">
        <v>1324</v>
      </c>
      <c r="D143" s="15" t="s">
        <v>11</v>
      </c>
      <c r="E143" s="15" t="s">
        <v>1325</v>
      </c>
      <c r="F143" s="15" t="s">
        <v>1326</v>
      </c>
      <c r="G143" s="16" t="n">
        <v>4.5</v>
      </c>
      <c r="H143" s="17" t="n">
        <v>2378</v>
      </c>
      <c r="I143" s="14" t="s">
        <v>55</v>
      </c>
      <c r="J143" s="14" t="s">
        <v>56</v>
      </c>
    </row>
    <row r="144" customFormat="false" ht="15" hidden="false" customHeight="false" outlineLevel="0" collapsed="false">
      <c r="A144" s="14" t="n">
        <v>143</v>
      </c>
      <c r="B144" s="15" t="s">
        <v>1323</v>
      </c>
      <c r="C144" s="15" t="s">
        <v>1327</v>
      </c>
      <c r="D144" s="15" t="s">
        <v>11</v>
      </c>
      <c r="E144" s="15" t="s">
        <v>1325</v>
      </c>
      <c r="F144" s="15" t="s">
        <v>1328</v>
      </c>
      <c r="G144" s="16" t="n">
        <v>4.8</v>
      </c>
      <c r="H144" s="17" t="n">
        <v>1256</v>
      </c>
      <c r="I144" s="14" t="s">
        <v>61</v>
      </c>
      <c r="J144" s="14" t="s">
        <v>56</v>
      </c>
    </row>
    <row r="145" customFormat="false" ht="15" hidden="false" customHeight="false" outlineLevel="0" collapsed="false">
      <c r="A145" s="14" t="n">
        <v>144</v>
      </c>
      <c r="B145" s="15" t="s">
        <v>1323</v>
      </c>
      <c r="C145" s="15" t="s">
        <v>1329</v>
      </c>
      <c r="D145" s="15" t="s">
        <v>11</v>
      </c>
      <c r="E145" s="15" t="s">
        <v>1325</v>
      </c>
      <c r="F145" s="15" t="s">
        <v>1330</v>
      </c>
      <c r="G145" s="16" t="n">
        <v>4.3</v>
      </c>
      <c r="H145" s="17" t="n">
        <v>4483</v>
      </c>
      <c r="I145" s="14" t="s">
        <v>55</v>
      </c>
      <c r="J145" s="14" t="s">
        <v>56</v>
      </c>
    </row>
    <row r="146" customFormat="false" ht="15" hidden="false" customHeight="false" outlineLevel="0" collapsed="false">
      <c r="A146" s="14" t="n">
        <v>145</v>
      </c>
      <c r="B146" s="15" t="s">
        <v>1323</v>
      </c>
      <c r="C146" s="15" t="s">
        <v>1331</v>
      </c>
      <c r="D146" s="15" t="s">
        <v>11</v>
      </c>
      <c r="E146" s="15" t="s">
        <v>1325</v>
      </c>
      <c r="F146" s="15" t="s">
        <v>1332</v>
      </c>
      <c r="G146" s="16" t="n">
        <v>4.7</v>
      </c>
      <c r="H146" s="17" t="n">
        <v>877</v>
      </c>
      <c r="I146" s="14" t="s">
        <v>55</v>
      </c>
      <c r="J146" s="14" t="s">
        <v>56</v>
      </c>
    </row>
    <row r="147" customFormat="false" ht="15" hidden="false" customHeight="false" outlineLevel="0" collapsed="false">
      <c r="A147" s="14" t="n">
        <v>146</v>
      </c>
      <c r="B147" s="15" t="s">
        <v>1333</v>
      </c>
      <c r="C147" s="15" t="s">
        <v>1334</v>
      </c>
      <c r="D147" s="15" t="s">
        <v>11</v>
      </c>
      <c r="E147" s="15" t="s">
        <v>1137</v>
      </c>
      <c r="F147" s="15" t="s">
        <v>1335</v>
      </c>
      <c r="G147" s="16" t="n">
        <v>4.4</v>
      </c>
      <c r="H147" s="17" t="n">
        <v>3414</v>
      </c>
      <c r="I147" s="14" t="s">
        <v>55</v>
      </c>
      <c r="J147" s="14" t="s">
        <v>56</v>
      </c>
    </row>
    <row r="148" customFormat="false" ht="15" hidden="false" customHeight="false" outlineLevel="0" collapsed="false">
      <c r="A148" s="14" t="n">
        <v>147</v>
      </c>
      <c r="B148" s="15" t="s">
        <v>1333</v>
      </c>
      <c r="C148" s="15" t="s">
        <v>370</v>
      </c>
      <c r="D148" s="15" t="s">
        <v>11</v>
      </c>
      <c r="E148" s="15" t="s">
        <v>1137</v>
      </c>
      <c r="F148" s="15" t="s">
        <v>1336</v>
      </c>
      <c r="G148" s="16" t="n">
        <v>4.8</v>
      </c>
      <c r="H148" s="17" t="n">
        <v>589</v>
      </c>
      <c r="I148" s="14" t="s">
        <v>55</v>
      </c>
      <c r="J148" s="14" t="s">
        <v>56</v>
      </c>
    </row>
    <row r="149" customFormat="false" ht="15" hidden="false" customHeight="false" outlineLevel="0" collapsed="false">
      <c r="A149" s="14" t="n">
        <v>148</v>
      </c>
      <c r="B149" s="15" t="s">
        <v>1333</v>
      </c>
      <c r="C149" s="15" t="s">
        <v>1337</v>
      </c>
      <c r="D149" s="15" t="s">
        <v>12</v>
      </c>
      <c r="E149" s="15" t="s">
        <v>1137</v>
      </c>
      <c r="F149" s="15" t="s">
        <v>1338</v>
      </c>
      <c r="G149" s="16" t="n">
        <v>4.3</v>
      </c>
      <c r="H149" s="17" t="n">
        <v>1707</v>
      </c>
      <c r="I149" s="14" t="s">
        <v>55</v>
      </c>
      <c r="J149" s="14" t="s">
        <v>56</v>
      </c>
    </row>
    <row r="150" customFormat="false" ht="15" hidden="false" customHeight="false" outlineLevel="0" collapsed="false">
      <c r="A150" s="14" t="n">
        <v>149</v>
      </c>
      <c r="B150" s="15" t="s">
        <v>1333</v>
      </c>
      <c r="C150" s="15" t="s">
        <v>1339</v>
      </c>
      <c r="D150" s="15" t="s">
        <v>13</v>
      </c>
      <c r="E150" s="15" t="s">
        <v>1137</v>
      </c>
      <c r="F150" s="15" t="s">
        <v>1340</v>
      </c>
      <c r="G150" s="16" t="n">
        <v>4.5</v>
      </c>
      <c r="H150" s="17" t="n">
        <v>738</v>
      </c>
      <c r="I150" s="14" t="s">
        <v>55</v>
      </c>
      <c r="J150" s="1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2026-09-20T22:33:14Z</dcterms:created>
  <dc:creator>openpyxl</dc:creator>
  <dc:description/>
  <dc:language>en-US</dc:language>
  <cp:lastModifiedBy/>
  <dcterms:modified xsi:type="dcterms:W3CDTF">2026-09-20T22:33:14Z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